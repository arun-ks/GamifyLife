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arun\Learn\Excels\New folder\"/>
    </mc:Choice>
  </mc:AlternateContent>
  <bookViews>
    <workbookView xWindow="-12" yWindow="-12" windowWidth="19140" windowHeight="7476" tabRatio="404" activeTab="2"/>
  </bookViews>
  <sheets>
    <sheet name="LoggerGraph" sheetId="29" r:id="rId1"/>
    <sheet name="LoggerData" sheetId="15" r:id="rId2"/>
    <sheet name="LoggerMaster" sheetId="16" r:id="rId3"/>
  </sheets>
  <definedNames>
    <definedName name="_xlnm._FilterDatabase" localSheetId="1" hidden="1">LoggerData!$A$1:$E$637</definedName>
    <definedName name="currency1">#REF!</definedName>
    <definedName name="currency2">#REF!</definedName>
    <definedName name="LoggedData">LoggerData!#REF!</definedName>
    <definedName name="LoggerDataTbl">LoggerData!$A$1:$E$637</definedName>
    <definedName name="resultsTable">#REF!</definedName>
    <definedName name="topLeft">#REF!</definedName>
    <definedName name="WeekData">#REF!</definedName>
  </definedNames>
  <calcPr calcId="152511"/>
  <pivotCaches>
    <pivotCache cacheId="12" r:id="rId4"/>
  </pivotCaches>
</workbook>
</file>

<file path=xl/calcChain.xml><?xml version="1.0" encoding="utf-8"?>
<calcChain xmlns="http://schemas.openxmlformats.org/spreadsheetml/2006/main">
  <c r="C284" i="15" l="1"/>
  <c r="C269" i="15" l="1"/>
  <c r="C267" i="15" l="1"/>
  <c r="C258" i="15" l="1"/>
  <c r="C236" i="15" l="1"/>
  <c r="C232" i="15" l="1"/>
  <c r="C128" i="15" l="1"/>
  <c r="C31" i="15" l="1"/>
  <c r="C213" i="15" l="1"/>
  <c r="C198" i="15" l="1"/>
  <c r="C188" i="15" l="1"/>
  <c r="C160" i="15" l="1"/>
  <c r="C171" i="15" l="1"/>
  <c r="C172" i="15"/>
  <c r="C173" i="15"/>
  <c r="C149" i="15" l="1"/>
  <c r="C139" i="15" l="1"/>
  <c r="C140" i="15"/>
  <c r="C137" i="15"/>
  <c r="C133" i="15" l="1"/>
  <c r="C134" i="15"/>
  <c r="C117" i="15" l="1"/>
  <c r="C106" i="15" l="1"/>
  <c r="C103" i="15" l="1"/>
  <c r="C97" i="15" l="1"/>
  <c r="D13" i="16" l="1"/>
  <c r="D12" i="16"/>
  <c r="D11" i="16"/>
  <c r="D10" i="16"/>
  <c r="D9" i="16"/>
  <c r="D8" i="16"/>
  <c r="D7" i="16"/>
  <c r="D6" i="16"/>
  <c r="D5" i="16"/>
  <c r="C82" i="15" l="1"/>
  <c r="C80" i="15" l="1"/>
  <c r="C81" i="15"/>
  <c r="C75" i="15" l="1"/>
  <c r="C637" i="15" l="1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6" i="15"/>
  <c r="C77" i="15"/>
  <c r="C78" i="15"/>
  <c r="C79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8" i="15"/>
  <c r="C99" i="15"/>
  <c r="C100" i="15"/>
  <c r="C101" i="15"/>
  <c r="C102" i="15"/>
  <c r="C104" i="15"/>
  <c r="C105" i="15"/>
  <c r="C107" i="15"/>
  <c r="C108" i="15"/>
  <c r="C109" i="15"/>
  <c r="C110" i="15"/>
  <c r="C111" i="15"/>
  <c r="C112" i="15"/>
  <c r="C113" i="15"/>
  <c r="C114" i="15"/>
  <c r="C115" i="15"/>
  <c r="C116" i="15"/>
  <c r="C118" i="15"/>
  <c r="C119" i="15"/>
  <c r="C120" i="15"/>
  <c r="C121" i="15"/>
  <c r="C122" i="15"/>
  <c r="C123" i="15"/>
  <c r="C124" i="15"/>
  <c r="C125" i="15"/>
  <c r="C126" i="15"/>
  <c r="C127" i="15"/>
  <c r="C129" i="15"/>
  <c r="C130" i="15"/>
  <c r="C131" i="15"/>
  <c r="C132" i="15"/>
  <c r="C135" i="15"/>
  <c r="C136" i="15"/>
  <c r="C138" i="15"/>
  <c r="C141" i="15"/>
  <c r="C142" i="15"/>
  <c r="C143" i="15"/>
  <c r="C144" i="15"/>
  <c r="C145" i="15"/>
  <c r="C146" i="15"/>
  <c r="C147" i="15"/>
  <c r="C148" i="15"/>
  <c r="C150" i="15"/>
  <c r="C151" i="15"/>
  <c r="C152" i="15"/>
  <c r="C153" i="15"/>
  <c r="C154" i="15"/>
  <c r="C155" i="15"/>
  <c r="C156" i="15"/>
  <c r="C157" i="15"/>
  <c r="C158" i="15"/>
  <c r="C159" i="15"/>
  <c r="C161" i="15"/>
  <c r="C162" i="15"/>
  <c r="C163" i="15"/>
  <c r="C164" i="15"/>
  <c r="C165" i="15"/>
  <c r="C166" i="15"/>
  <c r="C167" i="15"/>
  <c r="C168" i="15"/>
  <c r="C169" i="15"/>
  <c r="C170" i="15"/>
  <c r="C174" i="15"/>
  <c r="C175" i="15"/>
  <c r="C176" i="15"/>
  <c r="C177" i="15"/>
  <c r="C178" i="15"/>
  <c r="C179" i="15"/>
  <c r="C180" i="15"/>
  <c r="C181" i="15"/>
  <c r="C182" i="15"/>
  <c r="C183" i="15"/>
  <c r="C184" i="15"/>
  <c r="C185" i="15"/>
  <c r="C186" i="15"/>
  <c r="C187" i="15"/>
  <c r="C189" i="15"/>
  <c r="C190" i="15"/>
  <c r="C191" i="15"/>
  <c r="C192" i="15"/>
  <c r="C193" i="15"/>
  <c r="C194" i="15"/>
  <c r="C195" i="15"/>
  <c r="C196" i="15"/>
  <c r="C197" i="15"/>
  <c r="C199" i="15"/>
  <c r="C200" i="15"/>
  <c r="C201" i="15"/>
  <c r="C202" i="15"/>
  <c r="C203" i="15"/>
  <c r="C204" i="15"/>
  <c r="C205" i="15"/>
  <c r="C206" i="15"/>
  <c r="C207" i="15"/>
  <c r="C208" i="15"/>
  <c r="C209" i="15"/>
  <c r="C210" i="15"/>
  <c r="C211" i="15"/>
  <c r="C212" i="15"/>
  <c r="C214" i="15"/>
  <c r="C216" i="15"/>
  <c r="C215" i="15"/>
  <c r="C217" i="15"/>
  <c r="C218" i="15"/>
  <c r="C219" i="15"/>
  <c r="C220" i="15"/>
  <c r="C221" i="15"/>
  <c r="C222" i="15"/>
  <c r="C223" i="15"/>
  <c r="C224" i="15"/>
  <c r="C225" i="15"/>
  <c r="C226" i="15"/>
  <c r="C227" i="15"/>
  <c r="C228" i="15"/>
  <c r="C229" i="15"/>
  <c r="C230" i="15"/>
  <c r="C231" i="15"/>
  <c r="C235" i="15"/>
  <c r="C233" i="15"/>
  <c r="C234" i="15"/>
  <c r="C237" i="15"/>
  <c r="C238" i="15"/>
  <c r="C239" i="15"/>
  <c r="C240" i="15"/>
  <c r="C241" i="15"/>
  <c r="C242" i="15"/>
  <c r="C243" i="15"/>
  <c r="C244" i="15"/>
  <c r="C245" i="15"/>
  <c r="C246" i="15"/>
  <c r="C247" i="15"/>
  <c r="C248" i="15"/>
  <c r="C249" i="15"/>
  <c r="C250" i="15"/>
  <c r="C251" i="15"/>
  <c r="C252" i="15"/>
  <c r="C253" i="15"/>
  <c r="C254" i="15"/>
  <c r="C255" i="15"/>
  <c r="C256" i="15"/>
  <c r="C257" i="15"/>
  <c r="C259" i="15"/>
  <c r="C260" i="15"/>
  <c r="C261" i="15"/>
  <c r="C262" i="15"/>
  <c r="C265" i="15"/>
  <c r="C263" i="15"/>
  <c r="C264" i="15"/>
  <c r="C266" i="15"/>
  <c r="C268" i="15"/>
  <c r="C270" i="15"/>
  <c r="C271" i="15"/>
  <c r="C272" i="15"/>
  <c r="C273" i="15"/>
  <c r="C274" i="15"/>
  <c r="C275" i="15"/>
  <c r="C276" i="15"/>
  <c r="C277" i="15"/>
  <c r="C278" i="15"/>
  <c r="C279" i="15"/>
  <c r="C280" i="15"/>
  <c r="C281" i="15"/>
  <c r="C282" i="15"/>
  <c r="C283" i="15"/>
  <c r="C285" i="15"/>
  <c r="C286" i="15"/>
  <c r="C287" i="15"/>
  <c r="C288" i="15"/>
  <c r="C289" i="15"/>
  <c r="C290" i="15"/>
  <c r="C291" i="15"/>
  <c r="C292" i="15"/>
  <c r="C293" i="15"/>
  <c r="C294" i="15"/>
  <c r="C295" i="15"/>
  <c r="C296" i="15"/>
  <c r="C297" i="15"/>
  <c r="C298" i="15"/>
  <c r="C299" i="15"/>
  <c r="C300" i="15"/>
  <c r="C301" i="15"/>
  <c r="C302" i="15"/>
  <c r="C303" i="15"/>
  <c r="C304" i="15"/>
  <c r="C305" i="15"/>
  <c r="C306" i="15"/>
  <c r="C307" i="15"/>
  <c r="C308" i="15"/>
  <c r="C309" i="15"/>
  <c r="C310" i="15"/>
  <c r="C311" i="15"/>
  <c r="C312" i="15"/>
  <c r="C313" i="15"/>
  <c r="C314" i="15"/>
  <c r="C315" i="15"/>
  <c r="C316" i="15"/>
  <c r="C317" i="15"/>
  <c r="C318" i="15"/>
  <c r="C319" i="15"/>
  <c r="C320" i="15"/>
  <c r="C321" i="15"/>
  <c r="C322" i="15"/>
  <c r="C323" i="15"/>
  <c r="C324" i="15"/>
  <c r="C325" i="15"/>
  <c r="C326" i="15"/>
  <c r="C327" i="15"/>
  <c r="C328" i="15"/>
  <c r="C329" i="15"/>
  <c r="C330" i="15"/>
  <c r="C331" i="15"/>
  <c r="C332" i="15"/>
  <c r="C333" i="15"/>
  <c r="C334" i="15"/>
  <c r="C335" i="15"/>
  <c r="C336" i="15"/>
  <c r="C337" i="15"/>
  <c r="C338" i="15"/>
  <c r="C339" i="15"/>
  <c r="C340" i="15"/>
  <c r="C341" i="15"/>
  <c r="C342" i="15"/>
  <c r="C343" i="15"/>
  <c r="C344" i="15"/>
  <c r="C345" i="15"/>
  <c r="C346" i="15"/>
  <c r="C347" i="15"/>
  <c r="C348" i="15"/>
  <c r="C349" i="15"/>
  <c r="C350" i="15"/>
  <c r="C351" i="15"/>
  <c r="C352" i="15"/>
  <c r="C353" i="15"/>
  <c r="C354" i="15"/>
  <c r="C355" i="15"/>
  <c r="C356" i="15"/>
  <c r="C357" i="15"/>
  <c r="C358" i="15"/>
  <c r="C359" i="15"/>
  <c r="C360" i="15"/>
  <c r="C361" i="15"/>
  <c r="C362" i="15"/>
  <c r="C363" i="15"/>
  <c r="C364" i="15"/>
  <c r="C365" i="15"/>
  <c r="C366" i="15"/>
  <c r="C367" i="15"/>
  <c r="C368" i="15"/>
  <c r="C369" i="15"/>
  <c r="C370" i="15"/>
  <c r="C371" i="15"/>
  <c r="C372" i="15"/>
  <c r="C373" i="15"/>
  <c r="C374" i="15"/>
  <c r="C375" i="15"/>
  <c r="C376" i="15"/>
  <c r="C377" i="15"/>
  <c r="C378" i="15"/>
  <c r="C379" i="15"/>
  <c r="C380" i="15"/>
  <c r="C381" i="15"/>
  <c r="C382" i="15"/>
  <c r="C383" i="15"/>
  <c r="C384" i="15"/>
  <c r="C385" i="15"/>
  <c r="C386" i="15"/>
  <c r="C387" i="15"/>
  <c r="C388" i="15"/>
  <c r="C389" i="15"/>
  <c r="C390" i="15"/>
  <c r="C391" i="15"/>
  <c r="C392" i="15"/>
  <c r="C393" i="15"/>
  <c r="C394" i="15"/>
  <c r="C395" i="15"/>
  <c r="C396" i="15"/>
  <c r="C397" i="15"/>
  <c r="C398" i="15"/>
  <c r="C399" i="15"/>
  <c r="C400" i="15"/>
  <c r="C401" i="15"/>
  <c r="C402" i="15"/>
  <c r="C403" i="15"/>
  <c r="C404" i="15"/>
  <c r="C405" i="15"/>
  <c r="C406" i="15"/>
  <c r="C407" i="15"/>
  <c r="C408" i="15"/>
  <c r="C409" i="15"/>
  <c r="C410" i="15"/>
  <c r="C411" i="15"/>
  <c r="C412" i="15"/>
  <c r="C413" i="15"/>
  <c r="C414" i="15"/>
  <c r="C415" i="15"/>
  <c r="C416" i="15"/>
  <c r="C417" i="15"/>
  <c r="C418" i="15"/>
  <c r="C419" i="15"/>
  <c r="C420" i="15"/>
  <c r="C421" i="15"/>
  <c r="C422" i="15"/>
  <c r="C423" i="15"/>
  <c r="C424" i="15"/>
  <c r="C425" i="15"/>
  <c r="C426" i="15"/>
  <c r="C427" i="15"/>
  <c r="C428" i="15"/>
  <c r="C429" i="15"/>
  <c r="C430" i="15"/>
  <c r="C431" i="15"/>
  <c r="C432" i="15"/>
  <c r="C433" i="15"/>
  <c r="C434" i="15"/>
  <c r="C435" i="15"/>
  <c r="C436" i="15"/>
  <c r="C437" i="15"/>
  <c r="C438" i="15"/>
  <c r="C439" i="15"/>
  <c r="C440" i="15"/>
  <c r="C441" i="15"/>
  <c r="C442" i="15"/>
  <c r="C443" i="15"/>
  <c r="C444" i="15"/>
  <c r="C445" i="15"/>
  <c r="C446" i="15"/>
  <c r="C447" i="15"/>
  <c r="C448" i="15"/>
  <c r="C449" i="15"/>
  <c r="C450" i="15"/>
  <c r="C451" i="15"/>
  <c r="C452" i="15"/>
  <c r="C453" i="15"/>
  <c r="C454" i="15"/>
  <c r="C455" i="15"/>
  <c r="C456" i="15"/>
  <c r="C457" i="15"/>
  <c r="C458" i="15"/>
  <c r="C459" i="15"/>
  <c r="C460" i="15"/>
  <c r="C461" i="15"/>
  <c r="C462" i="15"/>
  <c r="C463" i="15"/>
  <c r="C464" i="15"/>
  <c r="C465" i="15"/>
  <c r="C466" i="15"/>
  <c r="C467" i="15"/>
  <c r="C468" i="15"/>
  <c r="C469" i="15"/>
  <c r="C470" i="15"/>
  <c r="C471" i="15"/>
  <c r="C472" i="15"/>
  <c r="C473" i="15"/>
  <c r="C474" i="15"/>
  <c r="C475" i="15"/>
  <c r="C476" i="15"/>
  <c r="C477" i="15"/>
  <c r="C478" i="15"/>
  <c r="C479" i="15"/>
  <c r="C480" i="15"/>
  <c r="C481" i="15"/>
  <c r="C482" i="15"/>
  <c r="C483" i="15"/>
  <c r="C484" i="15"/>
  <c r="C485" i="15"/>
  <c r="C486" i="15"/>
  <c r="C487" i="15"/>
  <c r="C488" i="15"/>
  <c r="C489" i="15"/>
  <c r="C490" i="15"/>
  <c r="C491" i="15"/>
  <c r="C492" i="15"/>
  <c r="C493" i="15"/>
  <c r="C494" i="15"/>
  <c r="C495" i="15"/>
  <c r="C496" i="15"/>
  <c r="C497" i="15"/>
  <c r="C498" i="15"/>
  <c r="C499" i="15"/>
  <c r="C500" i="15"/>
  <c r="C501" i="15"/>
  <c r="C502" i="15"/>
  <c r="C503" i="15"/>
  <c r="C504" i="15"/>
  <c r="C505" i="15"/>
  <c r="C506" i="15"/>
  <c r="C507" i="15"/>
  <c r="C508" i="15"/>
  <c r="C509" i="15"/>
  <c r="C510" i="15"/>
  <c r="C511" i="15"/>
  <c r="C512" i="15"/>
  <c r="C513" i="15"/>
  <c r="C514" i="15"/>
  <c r="C515" i="15"/>
  <c r="C516" i="15"/>
  <c r="C517" i="15"/>
  <c r="C518" i="15"/>
  <c r="C519" i="15"/>
  <c r="C520" i="15"/>
  <c r="C521" i="15"/>
  <c r="C522" i="15"/>
  <c r="C523" i="15"/>
  <c r="C524" i="15"/>
  <c r="C525" i="15"/>
  <c r="C526" i="15"/>
  <c r="C527" i="15"/>
  <c r="C528" i="15"/>
  <c r="C529" i="15"/>
  <c r="C530" i="15"/>
  <c r="C531" i="15"/>
  <c r="C532" i="15"/>
  <c r="C533" i="15"/>
  <c r="C534" i="15"/>
  <c r="C535" i="15"/>
  <c r="C536" i="15"/>
  <c r="C537" i="15"/>
  <c r="C538" i="15"/>
  <c r="C539" i="15"/>
  <c r="C540" i="15"/>
  <c r="C541" i="15"/>
  <c r="C542" i="15"/>
  <c r="C543" i="15"/>
  <c r="C544" i="15"/>
  <c r="C545" i="15"/>
  <c r="C546" i="15"/>
  <c r="C547" i="15"/>
  <c r="C548" i="15"/>
  <c r="C549" i="15"/>
  <c r="C550" i="15"/>
  <c r="C551" i="15"/>
  <c r="C552" i="15"/>
  <c r="C553" i="15"/>
  <c r="C554" i="15"/>
  <c r="C555" i="15"/>
  <c r="C556" i="15"/>
  <c r="C557" i="15"/>
  <c r="C558" i="15"/>
  <c r="C559" i="15"/>
  <c r="C560" i="15"/>
  <c r="C561" i="15"/>
  <c r="C562" i="15"/>
  <c r="C563" i="15"/>
  <c r="C564" i="15"/>
  <c r="C565" i="15"/>
  <c r="C566" i="15"/>
  <c r="C567" i="15"/>
  <c r="C568" i="15"/>
  <c r="C569" i="15"/>
  <c r="C570" i="15"/>
  <c r="C571" i="15"/>
  <c r="C572" i="15"/>
  <c r="C573" i="15"/>
  <c r="C574" i="15"/>
  <c r="C575" i="15"/>
  <c r="C576" i="15"/>
  <c r="C577" i="15"/>
  <c r="C578" i="15"/>
  <c r="C579" i="15"/>
  <c r="C580" i="15"/>
  <c r="C581" i="15"/>
  <c r="C582" i="15"/>
  <c r="C583" i="15"/>
  <c r="C584" i="15"/>
  <c r="C585" i="15"/>
  <c r="C586" i="15"/>
  <c r="C587" i="15"/>
  <c r="C588" i="15"/>
  <c r="C589" i="15"/>
  <c r="C590" i="15"/>
  <c r="C591" i="15"/>
  <c r="C592" i="15"/>
  <c r="C593" i="15"/>
  <c r="C594" i="15"/>
  <c r="C595" i="15"/>
  <c r="C596" i="15"/>
  <c r="C597" i="15"/>
  <c r="C598" i="15"/>
  <c r="C599" i="15"/>
  <c r="C600" i="15"/>
  <c r="C601" i="15"/>
  <c r="C602" i="15"/>
  <c r="C603" i="15"/>
  <c r="C604" i="15"/>
  <c r="C605" i="15"/>
  <c r="C606" i="15"/>
  <c r="C607" i="15"/>
  <c r="C608" i="15"/>
  <c r="C609" i="15"/>
  <c r="C610" i="15"/>
  <c r="C611" i="15"/>
  <c r="C612" i="15"/>
  <c r="C613" i="15"/>
  <c r="C614" i="15"/>
  <c r="C615" i="15"/>
  <c r="C616" i="15"/>
  <c r="C617" i="15"/>
  <c r="C618" i="15"/>
  <c r="C619" i="15"/>
  <c r="C620" i="15"/>
  <c r="C621" i="15"/>
  <c r="C622" i="15"/>
  <c r="C623" i="15"/>
  <c r="C624" i="15"/>
  <c r="C625" i="15"/>
  <c r="C626" i="15"/>
  <c r="C627" i="15"/>
  <c r="C628" i="15"/>
  <c r="C629" i="15"/>
  <c r="C630" i="15"/>
  <c r="C631" i="15"/>
  <c r="C632" i="15"/>
  <c r="C633" i="15"/>
  <c r="C634" i="15"/>
  <c r="C635" i="15"/>
  <c r="C636" i="15"/>
  <c r="C2" i="15"/>
  <c r="H1" i="15" l="1"/>
  <c r="L20" i="16"/>
  <c r="E15" i="16"/>
  <c r="G15" i="16" s="1"/>
  <c r="D3" i="16"/>
  <c r="D4" i="16"/>
  <c r="D2" i="16"/>
  <c r="G3" i="16"/>
  <c r="G4" i="16"/>
  <c r="G5" i="16"/>
  <c r="G6" i="16"/>
  <c r="G7" i="16"/>
  <c r="G8" i="16"/>
  <c r="G9" i="16"/>
  <c r="G10" i="16"/>
  <c r="G11" i="16"/>
  <c r="G12" i="16"/>
  <c r="G13" i="16"/>
  <c r="G2" i="16"/>
  <c r="K18" i="16" l="1"/>
  <c r="M18" i="16" s="1"/>
  <c r="J18" i="16"/>
  <c r="K19" i="16"/>
  <c r="M19" i="16" s="1"/>
  <c r="AF19" i="16" s="1"/>
  <c r="J19" i="16"/>
  <c r="AD19" i="16" l="1"/>
  <c r="O18" i="16"/>
  <c r="N18" i="16"/>
  <c r="Y18" i="16"/>
  <c r="S18" i="16"/>
  <c r="Z18" i="16"/>
  <c r="Q19" i="16"/>
  <c r="R19" i="16"/>
  <c r="X19" i="16"/>
  <c r="N19" i="16"/>
  <c r="W19" i="16"/>
  <c r="AG18" i="16"/>
  <c r="R18" i="16"/>
  <c r="AD18" i="16"/>
  <c r="Q18" i="16"/>
  <c r="M20" i="16"/>
  <c r="P20" i="16" s="1"/>
  <c r="T18" i="16"/>
  <c r="O19" i="16"/>
  <c r="AC19" i="16"/>
  <c r="Z19" i="16"/>
  <c r="AB19" i="16"/>
  <c r="AG19" i="16"/>
  <c r="AA19" i="16"/>
  <c r="AE19" i="16"/>
  <c r="Y19" i="16"/>
  <c r="U18" i="16"/>
  <c r="AC18" i="16"/>
  <c r="X18" i="16"/>
  <c r="AB18" i="16"/>
  <c r="W18" i="16"/>
  <c r="AE18" i="16"/>
  <c r="U19" i="16"/>
  <c r="J20" i="16"/>
  <c r="V19" i="16"/>
  <c r="P19" i="16"/>
  <c r="AF18" i="16"/>
  <c r="AA18" i="16"/>
  <c r="P18" i="16"/>
  <c r="V18" i="16"/>
  <c r="S19" i="16"/>
  <c r="T19" i="16"/>
  <c r="K20" i="16"/>
  <c r="T20" i="16" l="1"/>
  <c r="Z20" i="16"/>
  <c r="N20" i="16"/>
  <c r="AG20" i="16"/>
  <c r="AA20" i="16"/>
  <c r="Y20" i="16"/>
  <c r="R20" i="16"/>
  <c r="AF20" i="16"/>
  <c r="S20" i="16"/>
  <c r="AD20" i="16"/>
  <c r="Q20" i="16"/>
  <c r="W20" i="16"/>
  <c r="AC20" i="16"/>
  <c r="X20" i="16"/>
  <c r="AE20" i="16"/>
  <c r="V20" i="16"/>
  <c r="AB20" i="16"/>
  <c r="O20" i="16"/>
  <c r="U20" i="16"/>
</calcChain>
</file>

<file path=xl/sharedStrings.xml><?xml version="1.0" encoding="utf-8"?>
<sst xmlns="http://schemas.openxmlformats.org/spreadsheetml/2006/main" count="61" uniqueCount="36">
  <si>
    <t>%</t>
  </si>
  <si>
    <t>Date</t>
  </si>
  <si>
    <t>Total</t>
  </si>
  <si>
    <t>Eat Junk Food</t>
  </si>
  <si>
    <t>Points</t>
  </si>
  <si>
    <t>Max</t>
  </si>
  <si>
    <t>Good</t>
  </si>
  <si>
    <t>Bad</t>
  </si>
  <si>
    <t>Learn Coding (+20m)</t>
  </si>
  <si>
    <t>Iterations</t>
  </si>
  <si>
    <t>Sum</t>
  </si>
  <si>
    <t>Last Date</t>
  </si>
  <si>
    <t>Life</t>
  </si>
  <si>
    <t>Days Since</t>
  </si>
  <si>
    <t>Activity Points</t>
  </si>
  <si>
    <t>+</t>
  </si>
  <si>
    <t>Activity Name</t>
  </si>
  <si>
    <t>Comments</t>
  </si>
  <si>
    <t>Today=</t>
  </si>
  <si>
    <t>Row Labels</t>
  </si>
  <si>
    <t>Grand Total</t>
  </si>
  <si>
    <t>Exercise - HIIT</t>
  </si>
  <si>
    <t>Exercise - Weights (+15m)</t>
  </si>
  <si>
    <t>Exercise - Situps</t>
  </si>
  <si>
    <t>Log - Weight</t>
  </si>
  <si>
    <t>Metric</t>
  </si>
  <si>
    <t>Min - Max</t>
  </si>
  <si>
    <t>Learn Robotics</t>
  </si>
  <si>
    <t>Learn German(+20m)</t>
  </si>
  <si>
    <t>Score</t>
  </si>
  <si>
    <t>Column Labels</t>
  </si>
  <si>
    <t>Min of Metric</t>
  </si>
  <si>
    <t>Log - General</t>
  </si>
  <si>
    <t>Exercise - Jogging</t>
  </si>
  <si>
    <t>Read book (+30m)</t>
  </si>
  <si>
    <t>Reach meeting late (+10m)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</si>
</sst>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%"/>
    <numFmt numFmtId="165" formatCode="ddd\,d\-mmm"/>
    <numFmt numFmtId="166" formatCode="_(&quot;$&quot;* #,##0_);_(&quot;$&quot;* \(#,##0\);_(&quot;$&quot;* &quot;-&quot;??_);_(@_)"/>
    <numFmt numFmtId="167" formatCode="dd/mmm/yy\ h:mm"/>
    <numFmt numFmtId="168" formatCode="[$-409]d/mmm;@"/>
    <numFmt numFmtId="169" formatCode="[$-409]d\-mmm;@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 Narrow"/>
      <family val="2"/>
    </font>
    <font>
      <sz val="10"/>
      <name val="Tahoma"/>
      <family val="2"/>
    </font>
    <font>
      <sz val="11"/>
      <color rgb="FF00B0F0"/>
      <name val="Calibri"/>
      <family val="2"/>
      <scheme val="minor"/>
    </font>
    <font>
      <sz val="11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6" fontId="1" fillId="0" borderId="0" applyFont="0" applyBorder="0"/>
    <xf numFmtId="0" fontId="19" fillId="0" borderId="0"/>
    <xf numFmtId="0" fontId="20" fillId="0" borderId="0" quotePrefix="1">
      <alignment horizontal="justify" vertical="justify" wrapText="1"/>
      <protection hidden="1"/>
    </xf>
  </cellStyleXfs>
  <cellXfs count="41">
    <xf numFmtId="0" fontId="0" fillId="0" borderId="0" xfId="0"/>
    <xf numFmtId="0" fontId="0" fillId="0" borderId="10" xfId="0" applyBorder="1"/>
    <xf numFmtId="2" fontId="0" fillId="0" borderId="0" xfId="0" applyNumberFormat="1"/>
    <xf numFmtId="0" fontId="0" fillId="34" borderId="10" xfId="0" applyFill="1" applyBorder="1"/>
    <xf numFmtId="165" fontId="0" fillId="0" borderId="10" xfId="0" applyNumberFormat="1" applyBorder="1"/>
    <xf numFmtId="0" fontId="0" fillId="0" borderId="10" xfId="0" applyNumberFormat="1" applyBorder="1"/>
    <xf numFmtId="0" fontId="0" fillId="0" borderId="0" xfId="0" applyBorder="1"/>
    <xf numFmtId="0" fontId="16" fillId="35" borderId="10" xfId="0" applyFont="1" applyFill="1" applyBorder="1"/>
    <xf numFmtId="0" fontId="17" fillId="0" borderId="0" xfId="0" quotePrefix="1" applyFont="1"/>
    <xf numFmtId="1" fontId="18" fillId="33" borderId="12" xfId="0" applyNumberFormat="1" applyFont="1" applyFill="1" applyBorder="1" applyAlignment="1">
      <alignment vertical="center"/>
    </xf>
    <xf numFmtId="1" fontId="18" fillId="33" borderId="14" xfId="0" applyNumberFormat="1" applyFont="1" applyFill="1" applyBorder="1" applyAlignment="1">
      <alignment vertical="center"/>
    </xf>
    <xf numFmtId="1" fontId="18" fillId="33" borderId="13" xfId="0" applyNumberFormat="1" applyFont="1" applyFill="1" applyBorder="1" applyAlignment="1">
      <alignment vertical="center"/>
    </xf>
    <xf numFmtId="0" fontId="0" fillId="0" borderId="0" xfId="0" applyNumberFormat="1" applyBorder="1"/>
    <xf numFmtId="0" fontId="0" fillId="0" borderId="16" xfId="0" applyBorder="1" applyAlignment="1">
      <alignment horizontal="center"/>
    </xf>
    <xf numFmtId="22" fontId="0" fillId="0" borderId="0" xfId="0" applyNumberFormat="1"/>
    <xf numFmtId="167" fontId="0" fillId="0" borderId="0" xfId="0" applyNumberFormat="1"/>
    <xf numFmtId="168" fontId="0" fillId="0" borderId="0" xfId="0" applyNumberFormat="1"/>
    <xf numFmtId="168" fontId="0" fillId="36" borderId="0" xfId="0" applyNumberFormat="1" applyFill="1"/>
    <xf numFmtId="0" fontId="0" fillId="0" borderId="0" xfId="0" applyFill="1" applyBorder="1"/>
    <xf numFmtId="1" fontId="18" fillId="33" borderId="15" xfId="0" applyNumberFormat="1" applyFont="1" applyFill="1" applyBorder="1" applyAlignment="1">
      <alignment vertical="center"/>
    </xf>
    <xf numFmtId="0" fontId="16" fillId="35" borderId="12" xfId="0" applyFont="1" applyFill="1" applyBorder="1"/>
    <xf numFmtId="164" fontId="0" fillId="0" borderId="12" xfId="0" applyNumberFormat="1" applyFont="1" applyBorder="1" applyAlignment="1">
      <alignment vertical="center"/>
    </xf>
    <xf numFmtId="1" fontId="18" fillId="33" borderId="19" xfId="0" applyNumberFormat="1" applyFont="1" applyFill="1" applyBorder="1" applyAlignment="1">
      <alignment vertical="center"/>
    </xf>
    <xf numFmtId="1" fontId="18" fillId="33" borderId="16" xfId="0" applyNumberFormat="1" applyFont="1" applyFill="1" applyBorder="1" applyAlignment="1">
      <alignment vertical="center"/>
    </xf>
    <xf numFmtId="1" fontId="18" fillId="33" borderId="20" xfId="0" applyNumberFormat="1" applyFont="1" applyFill="1" applyBorder="1" applyAlignment="1">
      <alignment vertical="center"/>
    </xf>
    <xf numFmtId="1" fontId="18" fillId="33" borderId="18" xfId="0" applyNumberFormat="1" applyFont="1" applyFill="1" applyBorder="1" applyAlignment="1">
      <alignment vertical="center"/>
    </xf>
    <xf numFmtId="1" fontId="18" fillId="33" borderId="17" xfId="0" applyNumberFormat="1" applyFont="1" applyFill="1" applyBorder="1" applyAlignment="1">
      <alignment vertical="center"/>
    </xf>
    <xf numFmtId="0" fontId="0" fillId="34" borderId="21" xfId="0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1" fillId="0" borderId="10" xfId="0" applyFont="1" applyBorder="1"/>
    <xf numFmtId="0" fontId="0" fillId="0" borderId="11" xfId="0" applyFill="1" applyBorder="1"/>
    <xf numFmtId="0" fontId="21" fillId="0" borderId="11" xfId="0" applyFont="1" applyFill="1" applyBorder="1"/>
    <xf numFmtId="0" fontId="0" fillId="37" borderId="10" xfId="0" applyFill="1" applyBorder="1"/>
    <xf numFmtId="168" fontId="0" fillId="37" borderId="10" xfId="0" applyNumberFormat="1" applyFill="1" applyBorder="1"/>
    <xf numFmtId="49" fontId="0" fillId="37" borderId="10" xfId="0" applyNumberFormat="1" applyFill="1" applyBorder="1"/>
    <xf numFmtId="0" fontId="16" fillId="35" borderId="17" xfId="0" applyFont="1" applyFill="1" applyBorder="1" applyAlignment="1">
      <alignment horizontal="center"/>
    </xf>
    <xf numFmtId="0" fontId="16" fillId="35" borderId="18" xfId="0" applyFont="1" applyFill="1" applyBorder="1" applyAlignment="1">
      <alignment horizontal="center"/>
    </xf>
    <xf numFmtId="0" fontId="16" fillId="35" borderId="15" xfId="0" applyFont="1" applyFill="1" applyBorder="1" applyAlignment="1">
      <alignment horizontal="center"/>
    </xf>
    <xf numFmtId="169" fontId="0" fillId="0" borderId="0" xfId="0" applyNumberFormat="1" applyAlignment="1">
      <alignment horizontal="left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 NO DEC" xfId="42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3"/>
    <cellStyle name="Normal 4" xfId="44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ont>
        <color rgb="FFC00000"/>
      </font>
      <fill>
        <patternFill>
          <fgColor rgb="FFC00000"/>
          <bgColor rgb="FFC00000"/>
        </patternFill>
      </fill>
    </dxf>
    <dxf>
      <font>
        <color rgb="FF00B050"/>
      </font>
      <fill>
        <patternFill>
          <fgColor rgb="FF00B050"/>
          <bgColor rgb="FF00B050"/>
        </patternFill>
      </fill>
    </dxf>
    <dxf>
      <font>
        <color rgb="FF00B050"/>
      </font>
      <fill>
        <patternFill>
          <fgColor rgb="FF00B050"/>
          <bgColor rgb="FF00B050"/>
        </patternFill>
      </fill>
    </dxf>
    <dxf>
      <font>
        <strike val="0"/>
        <color theme="0"/>
      </font>
    </dxf>
    <dxf>
      <numFmt numFmtId="169" formatCode="[$-409]d\-mmm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[GamifyLife.xlsm]LoggerGraph!LoggerGraphs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1750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4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4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4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1.9499921520757267E-2"/>
          <c:y val="0.1019328260047308"/>
          <c:w val="0.90606044150007703"/>
          <c:h val="0.7878884705058796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LoggerGraph!$B$3:$B$4</c:f>
              <c:strCache>
                <c:ptCount val="1"/>
                <c:pt idx="0">
                  <c:v>Log - Weight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31750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LoggerGraph!$A$5:$A$6</c:f>
              <c:strCache>
                <c:ptCount val="1"/>
                <c:pt idx="0">
                  <c:v>1/31/2017</c:v>
                </c:pt>
              </c:strCache>
            </c:strRef>
          </c:cat>
          <c:val>
            <c:numRef>
              <c:f>LoggerGraph!$B$5:$B$6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1177264"/>
        <c:axId val="231176872"/>
      </c:barChart>
      <c:valAx>
        <c:axId val="231176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177264"/>
        <c:crosses val="autoZero"/>
        <c:crossBetween val="between"/>
      </c:valAx>
      <c:dateAx>
        <c:axId val="23117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176872"/>
        <c:crosses val="autoZero"/>
        <c:auto val="0"/>
        <c:lblOffset val="100"/>
        <c:baseTimeUnit val="days"/>
      </c:date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4993</xdr:colOff>
      <xdr:row>0</xdr:row>
      <xdr:rowOff>86283</xdr:rowOff>
    </xdr:from>
    <xdr:to>
      <xdr:col>38</xdr:col>
      <xdr:colOff>15875</xdr:colOff>
      <xdr:row>70</xdr:row>
      <xdr:rowOff>79375</xdr:rowOff>
    </xdr:to>
    <xdr:graphicFrame macro="">
      <xdr:nvGraphicFramePr>
        <xdr:cNvPr id="2" name="LoggerGraph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76200</xdr:rowOff>
        </xdr:from>
        <xdr:to>
          <xdr:col>11</xdr:col>
          <xdr:colOff>320040</xdr:colOff>
          <xdr:row>4</xdr:row>
          <xdr:rowOff>182880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7</xdr:row>
          <xdr:rowOff>106680</xdr:rowOff>
        </xdr:from>
        <xdr:to>
          <xdr:col>11</xdr:col>
          <xdr:colOff>304800</xdr:colOff>
          <xdr:row>9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 an Activity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run Sivanandan" refreshedDate="42766.669965624998" createdVersion="5" refreshedVersion="5" minRefreshableVersion="3" recordCount="637">
  <cacheSource type="worksheet">
    <worksheetSource ref="A1:E1048576" sheet="LoggerData"/>
  </cacheSource>
  <cacheFields count="5">
    <cacheField name="Date" numFmtId="0">
      <sharedItems containsNonDate="0" containsDate="1" containsString="0" containsBlank="1" minDate="2016-07-27T00:00:00" maxDate="2017-02-01T00:00:00" count="146">
        <d v="2016-07-27T00:00:00"/>
        <d v="2017-01-31T00:00:00"/>
        <m/>
        <d v="2016-11-04T00:00:00" u="1"/>
        <d v="2017-01-04T00:00:00" u="1"/>
        <d v="2016-10-18T00:00:00" u="1"/>
        <d v="2016-12-09T00:00:00" u="1"/>
        <d v="2016-08-01T00:00:00" u="1"/>
        <d v="2016-11-23T00:00:00" u="1"/>
        <d v="2017-01-23T00:00:00" u="1"/>
        <d v="2016-09-06T00:00:00" u="1"/>
        <d v="2016-12-28T00:00:00" u="1"/>
        <d v="2016-12-02T00:00:00" u="1"/>
        <d v="2016-11-16T00:00:00" u="1"/>
        <d v="2017-01-16T00:00:00" u="1"/>
        <d v="2016-12-21T00:00:00" u="1"/>
        <d v="2016-11-09T00:00:00" u="1"/>
        <d v="2017-01-09T00:00:00" u="1"/>
        <d v="2016-10-23T00:00:00" u="1"/>
        <d v="2016-12-14T00:00:00" u="1"/>
        <d v="2016-11-28T00:00:00" u="1"/>
        <d v="2017-01-28T00:00:00" u="1"/>
        <d v="2016-11-02T00:00:00" u="1"/>
        <d v="2017-01-02T00:00:00" u="1"/>
        <d v="2016-08-25T00:00:00" u="1"/>
        <d v="2016-12-07T00:00:00" u="1"/>
        <d v="2016-09-30T00:00:00" u="1"/>
        <d v="2016-11-21T00:00:00" u="1"/>
        <d v="2017-01-21T00:00:00" u="1"/>
        <d v="2016-12-26T00:00:00" u="1"/>
        <d v="2016-09-23T00:00:00" u="1"/>
        <d v="2016-11-14T00:00:00" u="1"/>
        <d v="2017-01-14T00:00:00" u="1"/>
        <d v="2016-10-28T00:00:00" u="1"/>
        <d v="2016-12-19T00:00:00" u="1"/>
        <d v="2016-09-16T00:00:00" u="1"/>
        <d v="2016-11-07T00:00:00" u="1"/>
        <d v="2017-01-07T00:00:00" u="1"/>
        <d v="2016-08-30T00:00:00" u="1"/>
        <d v="2016-10-21T00:00:00" u="1"/>
        <d v="2016-12-12T00:00:00" u="1"/>
        <d v="2016-08-04T00:00:00" u="1"/>
        <d v="2016-11-26T00:00:00" u="1"/>
        <d v="2017-01-26T00:00:00" u="1"/>
        <d v="2016-09-09T00:00:00" u="1"/>
        <d v="2016-12-31T00:00:00" u="1"/>
        <d v="2016-08-23T00:00:00" u="1"/>
        <d v="2016-10-14T00:00:00" u="1"/>
        <d v="2016-12-05T00:00:00" u="1"/>
        <d v="2016-09-28T00:00:00" u="1"/>
        <d v="2016-11-19T00:00:00" u="1"/>
        <d v="2017-01-19T00:00:00" u="1"/>
        <d v="2016-12-24T00:00:00" u="1"/>
        <d v="2016-10-07T00:00:00" u="1"/>
        <d v="2016-07-30T00:00:00" u="1"/>
        <d v="2016-09-21T00:00:00" u="1"/>
        <d v="2016-11-12T00:00:00" u="1"/>
        <d v="2017-01-12T00:00:00" u="1"/>
        <d v="2016-12-17T00:00:00" u="1"/>
        <d v="2016-11-05T00:00:00" u="1"/>
        <d v="2017-01-05T00:00:00" u="1"/>
        <d v="2016-10-19T00:00:00" u="1"/>
        <d v="2016-12-10T00:00:00" u="1"/>
        <d v="2016-08-02T00:00:00" u="1"/>
        <d v="2016-11-24T00:00:00" u="1"/>
        <d v="2017-01-24T00:00:00" u="1"/>
        <d v="2016-12-29T00:00:00" u="1"/>
        <d v="2016-08-21T00:00:00" u="1"/>
        <d v="2016-10-12T00:00:00" u="1"/>
        <d v="2016-12-03T00:00:00" u="1"/>
        <d v="2016-09-26T00:00:00" u="1"/>
        <d v="2016-11-17T00:00:00" u="1"/>
        <d v="2017-01-17T00:00:00" u="1"/>
        <d v="2016-12-22T00:00:00" u="1"/>
        <d v="2016-10-05T00:00:00" u="1"/>
        <d v="2016-07-28T00:00:00" u="1"/>
        <d v="2016-09-19T00:00:00" u="1"/>
        <d v="2016-11-10T00:00:00" u="1"/>
        <d v="2017-01-10T00:00:00" u="1"/>
        <d v="2016-10-24T00:00:00" u="1"/>
        <d v="2016-12-15T00:00:00" u="1"/>
        <d v="2016-11-29T00:00:00" u="1"/>
        <d v="2017-01-29T00:00:00" u="1"/>
        <d v="2016-11-03T00:00:00" u="1"/>
        <d v="2017-01-03T00:00:00" u="1"/>
        <d v="2016-08-26T00:00:00" u="1"/>
        <d v="2016-10-17T00:00:00" u="1"/>
        <d v="2016-12-08T00:00:00" u="1"/>
        <d v="2016-11-22T00:00:00" u="1"/>
        <d v="2017-01-22T00:00:00" u="1"/>
        <d v="2016-09-05T00:00:00" u="1"/>
        <d v="2016-12-27T00:00:00" u="1"/>
        <d v="2016-10-10T00:00:00" u="1"/>
        <d v="2016-12-01T00:00:00" u="1"/>
        <d v="2016-11-15T00:00:00" u="1"/>
        <d v="2017-01-15T00:00:00" u="1"/>
        <d v="2016-10-29T00:00:00" u="1"/>
        <d v="2016-12-20T00:00:00" u="1"/>
        <d v="2016-10-03T00:00:00" u="1"/>
        <d v="2016-09-17T00:00:00" u="1"/>
        <d v="2016-11-08T00:00:00" u="1"/>
        <d v="2017-01-08T00:00:00" u="1"/>
        <d v="2016-10-22T00:00:00" u="1"/>
        <d v="2016-12-13T00:00:00" u="1"/>
        <d v="2016-11-27T00:00:00" u="1"/>
        <d v="2017-01-27T00:00:00" u="1"/>
        <d v="2016-11-01T00:00:00" u="1"/>
        <d v="2017-01-01T00:00:00" u="1"/>
        <d v="2016-10-15T00:00:00" u="1"/>
        <d v="2016-12-06T00:00:00" u="1"/>
        <d v="2016-11-20T00:00:00" u="1"/>
        <d v="2017-01-20T00:00:00" u="1"/>
        <d v="2016-12-25T00:00:00" u="1"/>
        <d v="2016-08-17T00:00:00" u="1"/>
        <d v="2016-10-08T00:00:00" u="1"/>
        <d v="2016-07-31T00:00:00" u="1"/>
        <d v="2016-09-22T00:00:00" u="1"/>
        <d v="2017-01-13T00:00:00" u="1"/>
        <d v="2016-10-27T00:00:00" u="1"/>
        <d v="2016-12-18T00:00:00" u="1"/>
        <d v="2016-09-15T00:00:00" u="1"/>
        <d v="2016-11-06T00:00:00" u="1"/>
        <d v="2017-01-06T00:00:00" u="1"/>
        <d v="2016-08-29T00:00:00" u="1"/>
        <d v="2016-10-20T00:00:00" u="1"/>
        <d v="2016-12-11T00:00:00" u="1"/>
        <d v="2016-08-03T00:00:00" u="1"/>
        <d v="2016-11-25T00:00:00" u="1"/>
        <d v="2017-01-25T00:00:00" u="1"/>
        <d v="2016-09-08T00:00:00" u="1"/>
        <d v="2016-12-30T00:00:00" u="1"/>
        <d v="2016-08-22T00:00:00" u="1"/>
        <d v="2016-10-13T00:00:00" u="1"/>
        <d v="2016-12-04T00:00:00" u="1"/>
        <d v="2016-09-27T00:00:00" u="1"/>
        <d v="2016-11-18T00:00:00" u="1"/>
        <d v="2017-01-18T00:00:00" u="1"/>
        <d v="2016-12-23T00:00:00" u="1"/>
        <d v="2016-07-29T00:00:00" u="1"/>
        <d v="2016-09-20T00:00:00" u="1"/>
        <d v="2016-11-11T00:00:00" u="1"/>
        <d v="2017-01-11T00:00:00" u="1"/>
        <d v="2016-10-25T00:00:00" u="1"/>
        <d v="2016-12-16T00:00:00" u="1"/>
        <d v="2016-11-30T00:00:00" u="1"/>
        <d v="2017-01-30T00:00:00" u="1"/>
      </sharedItems>
    </cacheField>
    <cacheField name="Activity Name" numFmtId="0">
      <sharedItems containsBlank="1" count="12">
        <m/>
        <s v="Log - Weight"/>
        <s v="Exercise - Situps" u="1"/>
        <s v="Exercise - Not HIIT" u="1"/>
        <s v="Learn Coding (+20m)" u="1"/>
        <s v="Exercise - Skating(+30m)" u="1"/>
        <s v="Learn German(+20m)" u="1"/>
        <s v="Reach meeting late (+10m)" u="1"/>
        <s v="Log - General" u="1"/>
        <s v="Learn Robotics" u="1"/>
        <s v="Eat Junk Food" u="1"/>
        <s v="Exercise - HIIT" u="1"/>
      </sharedItems>
    </cacheField>
    <cacheField name="Activity Points" numFmtId="0">
      <sharedItems containsBlank="1" containsMixedTypes="1" containsNumber="1" containsInteger="1" minValue="1" maxValue="1"/>
    </cacheField>
    <cacheField name="Metric" numFmtId="0">
      <sharedItems containsString="0" containsBlank="1" containsNumber="1" containsInteger="1" minValue="99" maxValue="99"/>
    </cacheField>
    <cacheField name="Comment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37">
  <r>
    <x v="0"/>
    <x v="0"/>
    <s v=""/>
    <m/>
    <m/>
  </r>
  <r>
    <x v="1"/>
    <x v="1"/>
    <n v="1"/>
    <n v="99"/>
    <m/>
  </r>
  <r>
    <x v="1"/>
    <x v="1"/>
    <n v="1"/>
    <n v="99"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n v="99"/>
    <m/>
  </r>
  <r>
    <x v="2"/>
    <x v="0"/>
    <s v=""/>
    <n v="99"/>
    <m/>
  </r>
  <r>
    <x v="2"/>
    <x v="0"/>
    <s v=""/>
    <n v="99"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s v=""/>
    <m/>
    <m/>
  </r>
  <r>
    <x v="2"/>
    <x v="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LoggerGraphs" cacheId="1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371">
  <location ref="A3:C6" firstHeaderRow="1" firstDataRow="2" firstDataCol="1"/>
  <pivotFields count="5">
    <pivotField axis="axisRow" showAll="0">
      <items count="147">
        <item x="0"/>
        <item m="1" x="75"/>
        <item m="1" x="138"/>
        <item m="1" x="54"/>
        <item m="1" x="115"/>
        <item m="1" x="7"/>
        <item m="1" x="63"/>
        <item m="1" x="126"/>
        <item m="1" x="41"/>
        <item m="1" x="113"/>
        <item m="1" x="67"/>
        <item m="1" x="131"/>
        <item m="1" x="46"/>
        <item m="1" x="24"/>
        <item m="1" x="85"/>
        <item m="1" x="123"/>
        <item m="1" x="38"/>
        <item m="1" x="90"/>
        <item m="1" x="10"/>
        <item m="1" x="129"/>
        <item m="1" x="44"/>
        <item m="1" x="120"/>
        <item m="1" x="35"/>
        <item m="1" x="99"/>
        <item m="1" x="76"/>
        <item m="1" x="139"/>
        <item m="1" x="55"/>
        <item m="1" x="116"/>
        <item m="1" x="30"/>
        <item m="1" x="70"/>
        <item m="1" x="134"/>
        <item m="1" x="49"/>
        <item m="1" x="26"/>
        <item m="1" x="98"/>
        <item m="1" x="74"/>
        <item m="1" x="53"/>
        <item m="1" x="114"/>
        <item m="1" x="92"/>
        <item m="1" x="68"/>
        <item m="1" x="132"/>
        <item m="1" x="47"/>
        <item m="1" x="108"/>
        <item m="1" x="86"/>
        <item m="1" x="5"/>
        <item m="1" x="61"/>
        <item m="1" x="124"/>
        <item m="1" x="39"/>
        <item m="1" x="102"/>
        <item m="1" x="18"/>
        <item m="1" x="79"/>
        <item m="1" x="142"/>
        <item m="1" x="118"/>
        <item m="1" x="33"/>
        <item m="1" x="96"/>
        <item m="1" x="106"/>
        <item m="1" x="22"/>
        <item m="1" x="83"/>
        <item m="1" x="3"/>
        <item m="1" x="59"/>
        <item m="1" x="121"/>
        <item m="1" x="36"/>
        <item m="1" x="100"/>
        <item m="1" x="16"/>
        <item m="1" x="77"/>
        <item x="2"/>
        <item m="1" x="140"/>
        <item m="1" x="56"/>
        <item m="1" x="31"/>
        <item m="1" x="94"/>
        <item m="1" x="13"/>
        <item m="1" x="71"/>
        <item m="1" x="135"/>
        <item m="1" x="50"/>
        <item m="1" x="110"/>
        <item m="1" x="27"/>
        <item m="1" x="88"/>
        <item m="1" x="8"/>
        <item m="1" x="64"/>
        <item m="1" x="127"/>
        <item m="1" x="42"/>
        <item m="1" x="104"/>
        <item m="1" x="20"/>
        <item m="1" x="81"/>
        <item m="1" x="144"/>
        <item m="1" x="93"/>
        <item m="1" x="12"/>
        <item m="1" x="69"/>
        <item m="1" x="133"/>
        <item m="1" x="48"/>
        <item m="1" x="109"/>
        <item m="1" x="25"/>
        <item m="1" x="87"/>
        <item m="1" x="6"/>
        <item m="1" x="62"/>
        <item m="1" x="125"/>
        <item m="1" x="40"/>
        <item m="1" x="103"/>
        <item m="1" x="19"/>
        <item m="1" x="80"/>
        <item m="1" x="143"/>
        <item m="1" x="58"/>
        <item m="1" x="119"/>
        <item m="1" x="34"/>
        <item m="1" x="97"/>
        <item m="1" x="15"/>
        <item m="1" x="73"/>
        <item m="1" x="137"/>
        <item m="1" x="52"/>
        <item m="1" x="112"/>
        <item m="1" x="29"/>
        <item m="1" x="91"/>
        <item m="1" x="11"/>
        <item m="1" x="66"/>
        <item m="1" x="130"/>
        <item m="1" x="45"/>
        <item m="1" x="107"/>
        <item m="1" x="23"/>
        <item m="1" x="84"/>
        <item m="1" x="4"/>
        <item m="1" x="60"/>
        <item m="1" x="122"/>
        <item m="1" x="37"/>
        <item m="1" x="101"/>
        <item m="1" x="17"/>
        <item m="1" x="78"/>
        <item m="1" x="141"/>
        <item m="1" x="57"/>
        <item m="1" x="117"/>
        <item m="1" x="32"/>
        <item m="1" x="95"/>
        <item m="1" x="14"/>
        <item m="1" x="72"/>
        <item m="1" x="136"/>
        <item m="1" x="51"/>
        <item m="1" x="111"/>
        <item m="1" x="28"/>
        <item m="1" x="89"/>
        <item m="1" x="9"/>
        <item m="1" x="65"/>
        <item m="1" x="128"/>
        <item m="1" x="43"/>
        <item m="1" x="105"/>
        <item m="1" x="21"/>
        <item m="1" x="82"/>
        <item m="1" x="145"/>
        <item x="1"/>
        <item t="default"/>
      </items>
    </pivotField>
    <pivotField axis="axisCol" multipleItemSelectionAllowed="1" showAll="0">
      <items count="13">
        <item h="1" m="1" x="10"/>
        <item h="1" m="1" x="11"/>
        <item h="1" m="1" x="3"/>
        <item m="1" x="2"/>
        <item h="1" m="1" x="4"/>
        <item h="1" m="1" x="6"/>
        <item h="1" m="1" x="9"/>
        <item x="1"/>
        <item h="1" x="0"/>
        <item h="1" m="1" x="5"/>
        <item h="1" m="1" x="8"/>
        <item h="1" m="1" x="7"/>
        <item t="default"/>
      </items>
    </pivotField>
    <pivotField showAll="0"/>
    <pivotField dataField="1" showAll="0"/>
    <pivotField showAll="0"/>
  </pivotFields>
  <rowFields count="1">
    <field x="0"/>
  </rowFields>
  <rowItems count="2">
    <i>
      <x v="145"/>
    </i>
    <i t="grand">
      <x/>
    </i>
  </rowItems>
  <colFields count="1">
    <field x="1"/>
  </colFields>
  <colItems count="2">
    <i>
      <x v="7"/>
    </i>
    <i t="grand">
      <x/>
    </i>
  </colItems>
  <dataFields count="1">
    <dataField name="Min of Metric" fld="3" subtotal="min" baseField="0" baseItem="55"/>
  </dataFields>
  <formats count="1">
    <format dxfId="4">
      <pivotArea dataOnly="0" labelOnly="1" fieldPosition="0">
        <references count="1">
          <reference field="0" count="0"/>
        </references>
      </pivotArea>
    </format>
  </formats>
  <chartFormats count="52"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8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9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0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1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3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4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5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7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9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1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3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5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6"/>
          </reference>
        </references>
      </pivotArea>
    </chartFormat>
    <chartFormat chart="0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5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65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166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66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66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66" format="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66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66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43" format="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43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3:C6"/>
  <sheetViews>
    <sheetView topLeftCell="C3" zoomScale="25" zoomScaleNormal="25" workbookViewId="0">
      <selection activeCell="AM27" sqref="AM27"/>
    </sheetView>
  </sheetViews>
  <sheetFormatPr defaultRowHeight="14.4" x14ac:dyDescent="0.3"/>
  <cols>
    <col min="1" max="1" width="28.5546875" bestFit="1" customWidth="1"/>
    <col min="2" max="2" width="32.5546875" bestFit="1" customWidth="1"/>
    <col min="3" max="3" width="21" bestFit="1" customWidth="1"/>
    <col min="4" max="4" width="16.21875" bestFit="1" customWidth="1"/>
    <col min="5" max="6" width="13.5546875" bestFit="1" customWidth="1"/>
    <col min="7" max="7" width="13.6640625" bestFit="1" customWidth="1"/>
    <col min="8" max="8" width="12.109375" bestFit="1" customWidth="1"/>
    <col min="9" max="9" width="14.6640625" bestFit="1" customWidth="1"/>
    <col min="10" max="10" width="12.109375" bestFit="1" customWidth="1"/>
    <col min="11" max="11" width="14.6640625" bestFit="1" customWidth="1"/>
    <col min="12" max="12" width="12.109375" bestFit="1" customWidth="1"/>
    <col min="13" max="13" width="14.6640625" bestFit="1" customWidth="1"/>
    <col min="14" max="14" width="12.109375" bestFit="1" customWidth="1"/>
    <col min="15" max="15" width="14.6640625" bestFit="1" customWidth="1"/>
    <col min="16" max="16" width="12.109375" bestFit="1" customWidth="1"/>
    <col min="17" max="17" width="14.6640625" bestFit="1" customWidth="1"/>
    <col min="18" max="18" width="12.109375" bestFit="1" customWidth="1"/>
    <col min="19" max="19" width="14.6640625" bestFit="1" customWidth="1"/>
    <col min="20" max="20" width="12.109375" bestFit="1" customWidth="1"/>
    <col min="21" max="21" width="14.6640625" bestFit="1" customWidth="1"/>
    <col min="22" max="22" width="12.109375" bestFit="1" customWidth="1"/>
    <col min="23" max="23" width="14.6640625" bestFit="1" customWidth="1"/>
    <col min="24" max="24" width="12.109375" bestFit="1" customWidth="1"/>
    <col min="25" max="25" width="14.6640625" bestFit="1" customWidth="1"/>
    <col min="26" max="26" width="12.109375" bestFit="1" customWidth="1"/>
    <col min="27" max="27" width="14.6640625" bestFit="1" customWidth="1"/>
    <col min="28" max="28" width="12.5546875" bestFit="1" customWidth="1"/>
    <col min="29" max="29" width="15.6640625" bestFit="1" customWidth="1"/>
    <col min="30" max="30" width="12.5546875" bestFit="1" customWidth="1"/>
    <col min="31" max="31" width="15.6640625" bestFit="1" customWidth="1"/>
    <col min="32" max="32" width="12.5546875" bestFit="1" customWidth="1"/>
    <col min="33" max="33" width="15.6640625" bestFit="1" customWidth="1"/>
    <col min="34" max="34" width="12.5546875" bestFit="1" customWidth="1"/>
    <col min="35" max="35" width="15.6640625" bestFit="1" customWidth="1"/>
    <col min="36" max="36" width="12.5546875" bestFit="1" customWidth="1"/>
    <col min="37" max="37" width="15.6640625" bestFit="1" customWidth="1"/>
    <col min="38" max="38" width="12.5546875" bestFit="1" customWidth="1"/>
    <col min="39" max="39" width="15.6640625" bestFit="1" customWidth="1"/>
    <col min="40" max="40" width="12.5546875" bestFit="1" customWidth="1"/>
    <col min="41" max="41" width="15.6640625" bestFit="1" customWidth="1"/>
    <col min="42" max="42" width="12.5546875" bestFit="1" customWidth="1"/>
    <col min="43" max="43" width="15.6640625" bestFit="1" customWidth="1"/>
    <col min="44" max="44" width="12.5546875" bestFit="1" customWidth="1"/>
    <col min="45" max="45" width="15.6640625" bestFit="1" customWidth="1"/>
    <col min="46" max="46" width="12.5546875" bestFit="1" customWidth="1"/>
    <col min="47" max="47" width="15.6640625" bestFit="1" customWidth="1"/>
    <col min="48" max="48" width="12.5546875" bestFit="1" customWidth="1"/>
    <col min="49" max="49" width="15.6640625" bestFit="1" customWidth="1"/>
    <col min="50" max="50" width="12.5546875" bestFit="1" customWidth="1"/>
    <col min="51" max="51" width="15.6640625" bestFit="1" customWidth="1"/>
    <col min="52" max="52" width="12.5546875" bestFit="1" customWidth="1"/>
    <col min="53" max="53" width="15.6640625" bestFit="1" customWidth="1"/>
    <col min="54" max="54" width="12.109375" bestFit="1" customWidth="1"/>
    <col min="55" max="55" width="14.6640625" bestFit="1" customWidth="1"/>
    <col min="56" max="56" width="12.109375" bestFit="1" customWidth="1"/>
    <col min="57" max="57" width="14.6640625" bestFit="1" customWidth="1"/>
    <col min="58" max="58" width="12.109375" bestFit="1" customWidth="1"/>
    <col min="59" max="59" width="14.6640625" bestFit="1" customWidth="1"/>
    <col min="60" max="60" width="12.109375" bestFit="1" customWidth="1"/>
    <col min="61" max="61" width="14.6640625" bestFit="1" customWidth="1"/>
    <col min="62" max="62" width="12.109375" bestFit="1" customWidth="1"/>
    <col min="63" max="63" width="14.6640625" bestFit="1" customWidth="1"/>
    <col min="64" max="64" width="12.109375" bestFit="1" customWidth="1"/>
    <col min="65" max="65" width="14.6640625" bestFit="1" customWidth="1"/>
    <col min="66" max="66" width="12.109375" bestFit="1" customWidth="1"/>
    <col min="67" max="67" width="14.6640625" bestFit="1" customWidth="1"/>
    <col min="68" max="68" width="12.109375" bestFit="1" customWidth="1"/>
    <col min="69" max="69" width="14.6640625" bestFit="1" customWidth="1"/>
    <col min="70" max="70" width="12.5546875" bestFit="1" customWidth="1"/>
    <col min="71" max="71" width="15.6640625" bestFit="1" customWidth="1"/>
    <col min="72" max="72" width="12.5546875" bestFit="1" customWidth="1"/>
    <col min="73" max="73" width="15.6640625" bestFit="1" customWidth="1"/>
    <col min="74" max="74" width="12.5546875" bestFit="1" customWidth="1"/>
    <col min="75" max="75" width="15.6640625" bestFit="1" customWidth="1"/>
    <col min="76" max="76" width="11.33203125" bestFit="1" customWidth="1"/>
  </cols>
  <sheetData>
    <row r="3" spans="1:3" x14ac:dyDescent="0.3">
      <c r="A3" s="28" t="s">
        <v>31</v>
      </c>
      <c r="B3" s="28" t="s">
        <v>30</v>
      </c>
    </row>
    <row r="4" spans="1:3" x14ac:dyDescent="0.3">
      <c r="A4" s="28" t="s">
        <v>19</v>
      </c>
      <c r="B4" t="s">
        <v>24</v>
      </c>
      <c r="C4" t="s">
        <v>20</v>
      </c>
    </row>
    <row r="5" spans="1:3" x14ac:dyDescent="0.3">
      <c r="A5" s="40">
        <v>42766</v>
      </c>
      <c r="B5" s="30">
        <v>99</v>
      </c>
      <c r="C5" s="30">
        <v>99</v>
      </c>
    </row>
    <row r="6" spans="1:3" x14ac:dyDescent="0.3">
      <c r="A6" s="29" t="s">
        <v>20</v>
      </c>
      <c r="B6" s="30">
        <v>99</v>
      </c>
      <c r="C6" s="30">
        <v>99</v>
      </c>
    </row>
  </sheetData>
  <pageMargins left="0.7" right="0.7" top="0.75" bottom="0.75" header="0.3" footer="0.3"/>
  <pageSetup paperSize="9" orientation="portrait" r:id="rId2"/>
  <headerFooter>
    <oddFooter>&amp;LLevel 2 – Sensitive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autoPageBreaks="0"/>
  </sheetPr>
  <dimension ref="A1:AI637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292" sqref="D2:E292"/>
    </sheetView>
  </sheetViews>
  <sheetFormatPr defaultRowHeight="14.4" x14ac:dyDescent="0.3"/>
  <cols>
    <col min="1" max="1" width="13.33203125" customWidth="1"/>
    <col min="2" max="2" width="28" customWidth="1"/>
    <col min="3" max="3" width="21" customWidth="1"/>
    <col min="4" max="4" width="10" customWidth="1"/>
    <col min="5" max="5" width="31.88671875" customWidth="1"/>
    <col min="6" max="6" width="9.109375" customWidth="1"/>
    <col min="8" max="8" width="11.6640625" bestFit="1" customWidth="1"/>
  </cols>
  <sheetData>
    <row r="1" spans="1:35" ht="14.25" customHeight="1" x14ac:dyDescent="0.3">
      <c r="A1" s="3" t="s">
        <v>1</v>
      </c>
      <c r="B1" s="3" t="s">
        <v>16</v>
      </c>
      <c r="C1" s="3" t="s">
        <v>14</v>
      </c>
      <c r="D1" s="3" t="s">
        <v>25</v>
      </c>
      <c r="E1" s="3" t="s">
        <v>17</v>
      </c>
      <c r="G1" s="27" t="s">
        <v>18</v>
      </c>
      <c r="H1" s="4">
        <f ca="1">TODAY()</f>
        <v>42766</v>
      </c>
    </row>
    <row r="2" spans="1:35" x14ac:dyDescent="0.3">
      <c r="A2" s="4">
        <v>42578</v>
      </c>
      <c r="B2" s="1"/>
      <c r="C2" s="1" t="str">
        <f>IF(ISBLANK(B2),"",VLOOKUP(B2,LoggerMaster!$A$2:$B$13,2,FALSE))</f>
        <v/>
      </c>
      <c r="D2" s="1"/>
      <c r="E2" s="1"/>
      <c r="AI2" s="14"/>
    </row>
    <row r="3" spans="1:35" x14ac:dyDescent="0.3">
      <c r="A3" s="4">
        <v>42766</v>
      </c>
      <c r="B3" s="1" t="s">
        <v>24</v>
      </c>
      <c r="C3" s="1">
        <f>IF(ISBLANK(B3),"",VLOOKUP(B3,LoggerMaster!$A$2:$B$13,2,FALSE))</f>
        <v>1</v>
      </c>
      <c r="D3" s="1">
        <v>99</v>
      </c>
      <c r="E3" s="1"/>
    </row>
    <row r="4" spans="1:35" x14ac:dyDescent="0.3">
      <c r="A4" s="4">
        <v>42766</v>
      </c>
      <c r="B4" s="1" t="s">
        <v>24</v>
      </c>
      <c r="C4" s="1">
        <f>IF(ISBLANK(B4),"",VLOOKUP(B4,LoggerMaster!$A$2:$B$13,2,FALSE))</f>
        <v>1</v>
      </c>
      <c r="D4" s="1">
        <v>99</v>
      </c>
      <c r="E4" s="1"/>
    </row>
    <row r="5" spans="1:35" x14ac:dyDescent="0.3">
      <c r="A5" s="4"/>
      <c r="B5" s="1"/>
      <c r="C5" s="1" t="str">
        <f>IF(ISBLANK(B5),"",VLOOKUP(B5,LoggerMaster!$A$2:$B$13,2,FALSE))</f>
        <v/>
      </c>
      <c r="D5" s="1"/>
      <c r="E5" s="1"/>
    </row>
    <row r="6" spans="1:35" x14ac:dyDescent="0.3">
      <c r="A6" s="4"/>
      <c r="B6" s="1"/>
      <c r="C6" s="1" t="str">
        <f>IF(ISBLANK(B6),"",VLOOKUP(B6,LoggerMaster!$A$2:$B$13,2,FALSE))</f>
        <v/>
      </c>
      <c r="D6" s="1"/>
      <c r="E6" s="1"/>
    </row>
    <row r="7" spans="1:35" x14ac:dyDescent="0.3">
      <c r="A7" s="4"/>
      <c r="B7" s="1"/>
      <c r="C7" s="1" t="str">
        <f>IF(ISBLANK(B7),"",VLOOKUP(B7,LoggerMaster!$A$2:$B$13,2,FALSE))</f>
        <v/>
      </c>
      <c r="D7" s="1"/>
      <c r="E7" s="1"/>
    </row>
    <row r="8" spans="1:35" x14ac:dyDescent="0.3">
      <c r="A8" s="4"/>
      <c r="B8" s="1"/>
      <c r="C8" s="1" t="str">
        <f>IF(ISBLANK(B8),"",VLOOKUP(B8,LoggerMaster!$A$2:$B$13,2,FALSE))</f>
        <v/>
      </c>
      <c r="D8" s="1"/>
      <c r="E8" s="1"/>
    </row>
    <row r="9" spans="1:35" x14ac:dyDescent="0.3">
      <c r="A9" s="4"/>
      <c r="B9" s="1"/>
      <c r="C9" s="1" t="str">
        <f>IF(ISBLANK(B9),"",VLOOKUP(B9,LoggerMaster!$A$2:$B$13,2,FALSE))</f>
        <v/>
      </c>
      <c r="D9" s="1"/>
      <c r="E9" s="1"/>
    </row>
    <row r="10" spans="1:35" x14ac:dyDescent="0.3">
      <c r="A10" s="4"/>
      <c r="B10" s="1"/>
      <c r="C10" s="1" t="str">
        <f>IF(ISBLANK(B10),"",VLOOKUP(B10,LoggerMaster!$A$2:$B$13,2,FALSE))</f>
        <v/>
      </c>
      <c r="D10" s="1"/>
      <c r="E10" s="1"/>
    </row>
    <row r="11" spans="1:35" x14ac:dyDescent="0.3">
      <c r="A11" s="4"/>
      <c r="B11" s="1"/>
      <c r="C11" s="1" t="str">
        <f>IF(ISBLANK(B11),"",VLOOKUP(B11,LoggerMaster!$A$2:$B$13,2,FALSE))</f>
        <v/>
      </c>
      <c r="D11" s="1"/>
      <c r="E11" s="1"/>
    </row>
    <row r="12" spans="1:35" x14ac:dyDescent="0.3">
      <c r="A12" s="4"/>
      <c r="B12" s="1"/>
      <c r="C12" s="1" t="str">
        <f>IF(ISBLANK(B12),"",VLOOKUP(B12,LoggerMaster!$A$2:$B$13,2,FALSE))</f>
        <v/>
      </c>
      <c r="D12" s="1"/>
      <c r="E12" s="1"/>
    </row>
    <row r="13" spans="1:35" x14ac:dyDescent="0.3">
      <c r="A13" s="4"/>
      <c r="B13" s="1"/>
      <c r="C13" s="1" t="str">
        <f>IF(ISBLANK(B13),"",VLOOKUP(B13,LoggerMaster!$A$2:$B$13,2,FALSE))</f>
        <v/>
      </c>
      <c r="D13" s="1"/>
      <c r="E13" s="1"/>
    </row>
    <row r="14" spans="1:35" x14ac:dyDescent="0.3">
      <c r="A14" s="4"/>
      <c r="B14" s="1"/>
      <c r="C14" s="1" t="str">
        <f>IF(ISBLANK(B14),"",VLOOKUP(B14,LoggerMaster!$A$2:$B$13,2,FALSE))</f>
        <v/>
      </c>
      <c r="D14" s="1"/>
      <c r="E14" s="1"/>
    </row>
    <row r="15" spans="1:35" x14ac:dyDescent="0.3">
      <c r="A15" s="4"/>
      <c r="B15" s="1"/>
      <c r="C15" s="1" t="str">
        <f>IF(ISBLANK(B15),"",VLOOKUP(B15,LoggerMaster!$A$2:$B$13,2,FALSE))</f>
        <v/>
      </c>
      <c r="D15" s="1"/>
      <c r="E15" s="1"/>
    </row>
    <row r="16" spans="1:35" x14ac:dyDescent="0.3">
      <c r="A16" s="4"/>
      <c r="B16" s="1"/>
      <c r="C16" s="1" t="str">
        <f>IF(ISBLANK(B16),"",VLOOKUP(B16,LoggerMaster!$A$2:$B$13,2,FALSE))</f>
        <v/>
      </c>
      <c r="D16" s="1"/>
      <c r="E16" s="1"/>
    </row>
    <row r="17" spans="1:5" x14ac:dyDescent="0.3">
      <c r="A17" s="4"/>
      <c r="B17" s="1"/>
      <c r="C17" s="1" t="str">
        <f>IF(ISBLANK(B17),"",VLOOKUP(B17,LoggerMaster!$A$2:$B$13,2,FALSE))</f>
        <v/>
      </c>
      <c r="D17" s="1"/>
      <c r="E17" s="1"/>
    </row>
    <row r="18" spans="1:5" x14ac:dyDescent="0.3">
      <c r="A18" s="4"/>
      <c r="B18" s="1"/>
      <c r="C18" s="1" t="str">
        <f>IF(ISBLANK(B18),"",VLOOKUP(B18,LoggerMaster!$A$2:$B$13,2,FALSE))</f>
        <v/>
      </c>
      <c r="D18" s="1"/>
      <c r="E18" s="1"/>
    </row>
    <row r="19" spans="1:5" x14ac:dyDescent="0.3">
      <c r="A19" s="4"/>
      <c r="B19" s="1"/>
      <c r="C19" s="1" t="str">
        <f>IF(ISBLANK(B19),"",VLOOKUP(B19,LoggerMaster!$A$2:$B$13,2,FALSE))</f>
        <v/>
      </c>
      <c r="D19" s="1"/>
      <c r="E19" s="1"/>
    </row>
    <row r="20" spans="1:5" x14ac:dyDescent="0.3">
      <c r="A20" s="4"/>
      <c r="B20" s="1"/>
      <c r="C20" s="1" t="str">
        <f>IF(ISBLANK(B20),"",VLOOKUP(B20,LoggerMaster!$A$2:$B$13,2,FALSE))</f>
        <v/>
      </c>
      <c r="D20" s="1"/>
      <c r="E20" s="1"/>
    </row>
    <row r="21" spans="1:5" x14ac:dyDescent="0.3">
      <c r="A21" s="4"/>
      <c r="B21" s="1"/>
      <c r="C21" s="1" t="str">
        <f>IF(ISBLANK(B21),"",VLOOKUP(B21,LoggerMaster!$A$2:$B$13,2,FALSE))</f>
        <v/>
      </c>
      <c r="D21" s="1"/>
      <c r="E21" s="1"/>
    </row>
    <row r="22" spans="1:5" x14ac:dyDescent="0.3">
      <c r="A22" s="4"/>
      <c r="B22" s="1"/>
      <c r="C22" s="1" t="str">
        <f>IF(ISBLANK(B22),"",VLOOKUP(B22,LoggerMaster!$A$2:$B$13,2,FALSE))</f>
        <v/>
      </c>
      <c r="D22" s="1"/>
      <c r="E22" s="1"/>
    </row>
    <row r="23" spans="1:5" x14ac:dyDescent="0.3">
      <c r="A23" s="4"/>
      <c r="B23" s="1"/>
      <c r="C23" s="1" t="str">
        <f>IF(ISBLANK(B23),"",VLOOKUP(B23,LoggerMaster!$A$2:$B$13,2,FALSE))</f>
        <v/>
      </c>
      <c r="D23" s="1"/>
      <c r="E23" s="1"/>
    </row>
    <row r="24" spans="1:5" x14ac:dyDescent="0.3">
      <c r="A24" s="4"/>
      <c r="B24" s="1"/>
      <c r="C24" s="1" t="str">
        <f>IF(ISBLANK(B24),"",VLOOKUP(B24,LoggerMaster!$A$2:$B$13,2,FALSE))</f>
        <v/>
      </c>
      <c r="D24" s="1"/>
      <c r="E24" s="1"/>
    </row>
    <row r="25" spans="1:5" x14ac:dyDescent="0.3">
      <c r="A25" s="4"/>
      <c r="B25" s="1"/>
      <c r="C25" s="1" t="str">
        <f>IF(ISBLANK(B25),"",VLOOKUP(B25,LoggerMaster!$A$2:$B$13,2,FALSE))</f>
        <v/>
      </c>
      <c r="D25" s="1"/>
      <c r="E25" s="1"/>
    </row>
    <row r="26" spans="1:5" x14ac:dyDescent="0.3">
      <c r="A26" s="4"/>
      <c r="B26" s="1"/>
      <c r="C26" s="1" t="str">
        <f>IF(ISBLANK(B26),"",VLOOKUP(B26,LoggerMaster!$A$2:$B$13,2,FALSE))</f>
        <v/>
      </c>
      <c r="D26" s="1"/>
      <c r="E26" s="1"/>
    </row>
    <row r="27" spans="1:5" x14ac:dyDescent="0.3">
      <c r="A27" s="4"/>
      <c r="B27" s="1"/>
      <c r="C27" s="1" t="str">
        <f>IF(ISBLANK(B27),"",VLOOKUP(B27,LoggerMaster!$A$2:$B$13,2,FALSE))</f>
        <v/>
      </c>
      <c r="D27" s="1"/>
      <c r="E27" s="1"/>
    </row>
    <row r="28" spans="1:5" x14ac:dyDescent="0.3">
      <c r="A28" s="4"/>
      <c r="B28" s="1"/>
      <c r="C28" s="1" t="str">
        <f>IF(ISBLANK(B28),"",VLOOKUP(B28,LoggerMaster!$A$2:$B$13,2,FALSE))</f>
        <v/>
      </c>
      <c r="D28" s="1"/>
      <c r="E28" s="1"/>
    </row>
    <row r="29" spans="1:5" x14ac:dyDescent="0.3">
      <c r="A29" s="4"/>
      <c r="B29" s="1"/>
      <c r="C29" s="1" t="str">
        <f>IF(ISBLANK(B29),"",VLOOKUP(B29,LoggerMaster!$A$2:$B$13,2,FALSE))</f>
        <v/>
      </c>
      <c r="D29" s="1"/>
      <c r="E29" s="1"/>
    </row>
    <row r="30" spans="1:5" x14ac:dyDescent="0.3">
      <c r="A30" s="4"/>
      <c r="B30" s="1"/>
      <c r="C30" s="1" t="str">
        <f>IF(ISBLANK(B30),"",VLOOKUP(B30,LoggerMaster!$A$2:$B$13,2,FALSE))</f>
        <v/>
      </c>
      <c r="D30" s="1"/>
      <c r="E30" s="1"/>
    </row>
    <row r="31" spans="1:5" x14ac:dyDescent="0.3">
      <c r="A31" s="4"/>
      <c r="B31" s="1"/>
      <c r="C31" s="1" t="str">
        <f>IF(ISBLANK(B31),"",VLOOKUP(B31,LoggerMaster!$A$2:$B$13,2,FALSE))</f>
        <v/>
      </c>
      <c r="D31" s="1"/>
      <c r="E31" s="1"/>
    </row>
    <row r="32" spans="1:5" x14ac:dyDescent="0.3">
      <c r="A32" s="4"/>
      <c r="B32" s="1"/>
      <c r="C32" s="1" t="str">
        <f>IF(ISBLANK(B32),"",VLOOKUP(B32,LoggerMaster!$A$2:$B$13,2,FALSE))</f>
        <v/>
      </c>
      <c r="D32" s="1"/>
    </row>
    <row r="33" spans="1:5" x14ac:dyDescent="0.3">
      <c r="A33" s="4"/>
      <c r="B33" s="1"/>
      <c r="C33" s="1" t="str">
        <f>IF(ISBLANK(B33),"",VLOOKUP(B33,LoggerMaster!$A$2:$B$13,2,FALSE))</f>
        <v/>
      </c>
      <c r="D33" s="1"/>
      <c r="E33" s="1"/>
    </row>
    <row r="34" spans="1:5" x14ac:dyDescent="0.3">
      <c r="A34" s="4"/>
      <c r="B34" s="1"/>
      <c r="C34" s="1" t="str">
        <f>IF(ISBLANK(B34),"",VLOOKUP(B34,LoggerMaster!$A$2:$B$13,2,FALSE))</f>
        <v/>
      </c>
      <c r="D34" s="1"/>
      <c r="E34" s="1"/>
    </row>
    <row r="35" spans="1:5" x14ac:dyDescent="0.3">
      <c r="A35" s="4"/>
      <c r="B35" s="1"/>
      <c r="C35" s="1" t="str">
        <f>IF(ISBLANK(B35),"",VLOOKUP(B35,LoggerMaster!$A$2:$B$13,2,FALSE))</f>
        <v/>
      </c>
      <c r="D35" s="1"/>
      <c r="E35" s="1"/>
    </row>
    <row r="36" spans="1:5" x14ac:dyDescent="0.3">
      <c r="A36" s="4"/>
      <c r="B36" s="1"/>
      <c r="C36" s="1" t="str">
        <f>IF(ISBLANK(B36),"",VLOOKUP(B36,LoggerMaster!$A$2:$B$13,2,FALSE))</f>
        <v/>
      </c>
      <c r="D36" s="1"/>
      <c r="E36" s="1"/>
    </row>
    <row r="37" spans="1:5" x14ac:dyDescent="0.3">
      <c r="A37" s="4"/>
      <c r="B37" s="1"/>
      <c r="C37" s="1" t="str">
        <f>IF(ISBLANK(B37),"",VLOOKUP(B37,LoggerMaster!$A$2:$B$13,2,FALSE))</f>
        <v/>
      </c>
      <c r="D37" s="1"/>
      <c r="E37" s="1"/>
    </row>
    <row r="38" spans="1:5" x14ac:dyDescent="0.3">
      <c r="A38" s="4"/>
      <c r="B38" s="1"/>
      <c r="C38" s="1" t="str">
        <f>IF(ISBLANK(B38),"",VLOOKUP(B38,LoggerMaster!$A$2:$B$13,2,FALSE))</f>
        <v/>
      </c>
      <c r="D38" s="1"/>
      <c r="E38" s="1"/>
    </row>
    <row r="39" spans="1:5" x14ac:dyDescent="0.3">
      <c r="A39" s="4"/>
      <c r="B39" s="1"/>
      <c r="C39" s="1" t="str">
        <f>IF(ISBLANK(B39),"",VLOOKUP(B39,LoggerMaster!$A$2:$B$13,2,FALSE))</f>
        <v/>
      </c>
      <c r="D39" s="1"/>
      <c r="E39" s="1"/>
    </row>
    <row r="40" spans="1:5" x14ac:dyDescent="0.3">
      <c r="A40" s="4"/>
      <c r="B40" s="1"/>
      <c r="C40" s="1" t="str">
        <f>IF(ISBLANK(B40),"",VLOOKUP(B40,LoggerMaster!$A$2:$B$13,2,FALSE))</f>
        <v/>
      </c>
      <c r="D40" s="32"/>
      <c r="E40" s="1"/>
    </row>
    <row r="41" spans="1:5" x14ac:dyDescent="0.3">
      <c r="A41" s="4"/>
      <c r="B41" s="1"/>
      <c r="C41" s="1" t="str">
        <f>IF(ISBLANK(B41),"",VLOOKUP(B41,LoggerMaster!$A$2:$B$13,2,FALSE))</f>
        <v/>
      </c>
      <c r="D41" s="1"/>
      <c r="E41" s="1"/>
    </row>
    <row r="42" spans="1:5" x14ac:dyDescent="0.3">
      <c r="A42" s="4"/>
      <c r="B42" s="1"/>
      <c r="C42" s="1" t="str">
        <f>IF(ISBLANK(B42),"",VLOOKUP(B42,LoggerMaster!$A$2:$B$13,2,FALSE))</f>
        <v/>
      </c>
      <c r="D42" s="1"/>
      <c r="E42" s="1"/>
    </row>
    <row r="43" spans="1:5" x14ac:dyDescent="0.3">
      <c r="A43" s="4"/>
      <c r="B43" s="1"/>
      <c r="C43" s="1" t="str">
        <f>IF(ISBLANK(B43),"",VLOOKUP(B43,LoggerMaster!$A$2:$B$13,2,FALSE))</f>
        <v/>
      </c>
      <c r="D43" s="1"/>
      <c r="E43" s="1"/>
    </row>
    <row r="44" spans="1:5" x14ac:dyDescent="0.3">
      <c r="A44" s="4"/>
      <c r="B44" s="1"/>
      <c r="C44" s="1" t="str">
        <f>IF(ISBLANK(B44),"",VLOOKUP(B44,LoggerMaster!$A$2:$B$13,2,FALSE))</f>
        <v/>
      </c>
      <c r="D44" s="1"/>
      <c r="E44" s="1"/>
    </row>
    <row r="45" spans="1:5" x14ac:dyDescent="0.3">
      <c r="A45" s="4"/>
      <c r="B45" s="1"/>
      <c r="C45" s="1" t="str">
        <f>IF(ISBLANK(B45),"",VLOOKUP(B45,LoggerMaster!$A$2:$B$13,2,FALSE))</f>
        <v/>
      </c>
      <c r="D45" s="1"/>
      <c r="E45" s="1"/>
    </row>
    <row r="46" spans="1:5" x14ac:dyDescent="0.3">
      <c r="A46" s="4"/>
      <c r="B46" s="1"/>
      <c r="C46" s="1" t="str">
        <f>IF(ISBLANK(B46),"",VLOOKUP(B46,LoggerMaster!$A$2:$B$13,2,FALSE))</f>
        <v/>
      </c>
      <c r="D46" s="1"/>
      <c r="E46" s="1"/>
    </row>
    <row r="47" spans="1:5" x14ac:dyDescent="0.3">
      <c r="A47" s="4"/>
      <c r="B47" s="1"/>
      <c r="C47" s="1" t="str">
        <f>IF(ISBLANK(B47),"",VLOOKUP(B47,LoggerMaster!$A$2:$B$13,2,FALSE))</f>
        <v/>
      </c>
      <c r="D47" s="1"/>
      <c r="E47" s="1"/>
    </row>
    <row r="48" spans="1:5" x14ac:dyDescent="0.3">
      <c r="A48" s="4"/>
      <c r="B48" s="1"/>
      <c r="C48" s="1" t="str">
        <f>IF(ISBLANK(B48),"",VLOOKUP(B48,LoggerMaster!$A$2:$B$13,2,FALSE))</f>
        <v/>
      </c>
      <c r="D48" s="1"/>
      <c r="E48" s="1"/>
    </row>
    <row r="49" spans="1:5" x14ac:dyDescent="0.3">
      <c r="A49" s="4"/>
      <c r="B49" s="1"/>
      <c r="C49" s="1" t="str">
        <f>IF(ISBLANK(B49),"",VLOOKUP(B49,LoggerMaster!$A$2:$B$13,2,FALSE))</f>
        <v/>
      </c>
      <c r="D49" s="1"/>
      <c r="E49" s="1"/>
    </row>
    <row r="50" spans="1:5" x14ac:dyDescent="0.3">
      <c r="A50" s="4"/>
      <c r="B50" s="1"/>
      <c r="C50" s="1" t="str">
        <f>IF(ISBLANK(B50),"",VLOOKUP(B50,LoggerMaster!$A$2:$B$13,2,FALSE))</f>
        <v/>
      </c>
      <c r="D50" s="1"/>
      <c r="E50" s="1"/>
    </row>
    <row r="51" spans="1:5" x14ac:dyDescent="0.3">
      <c r="A51" s="4"/>
      <c r="B51" s="1"/>
      <c r="C51" s="1" t="str">
        <f>IF(ISBLANK(B51),"",VLOOKUP(B51,LoggerMaster!$A$2:$B$13,2,FALSE))</f>
        <v/>
      </c>
      <c r="D51" s="1"/>
      <c r="E51" s="1"/>
    </row>
    <row r="52" spans="1:5" x14ac:dyDescent="0.3">
      <c r="A52" s="4"/>
      <c r="B52" s="1"/>
      <c r="C52" s="1" t="str">
        <f>IF(ISBLANK(B52),"",VLOOKUP(B52,LoggerMaster!$A$2:$B$13,2,FALSE))</f>
        <v/>
      </c>
      <c r="D52" s="1"/>
      <c r="E52" s="1"/>
    </row>
    <row r="53" spans="1:5" x14ac:dyDescent="0.3">
      <c r="A53" s="4"/>
      <c r="B53" s="1"/>
      <c r="C53" s="1" t="str">
        <f>IF(ISBLANK(B53),"",VLOOKUP(B53,LoggerMaster!$A$2:$B$13,2,FALSE))</f>
        <v/>
      </c>
      <c r="D53" s="1"/>
      <c r="E53" s="1"/>
    </row>
    <row r="54" spans="1:5" x14ac:dyDescent="0.3">
      <c r="A54" s="4"/>
      <c r="B54" s="1"/>
      <c r="C54" s="1" t="str">
        <f>IF(ISBLANK(B54),"",VLOOKUP(B54,LoggerMaster!$A$2:$B$13,2,FALSE))</f>
        <v/>
      </c>
      <c r="D54" s="1"/>
      <c r="E54" s="1"/>
    </row>
    <row r="55" spans="1:5" x14ac:dyDescent="0.3">
      <c r="A55" s="4"/>
      <c r="B55" s="1"/>
      <c r="C55" s="1" t="str">
        <f>IF(ISBLANK(B55),"",VLOOKUP(B55,LoggerMaster!$A$2:$B$13,2,FALSE))</f>
        <v/>
      </c>
      <c r="D55" s="1"/>
      <c r="E55" s="1"/>
    </row>
    <row r="56" spans="1:5" x14ac:dyDescent="0.3">
      <c r="A56" s="4"/>
      <c r="B56" s="1"/>
      <c r="C56" s="1" t="str">
        <f>IF(ISBLANK(B56),"",VLOOKUP(B56,LoggerMaster!$A$2:$B$13,2,FALSE))</f>
        <v/>
      </c>
      <c r="D56" s="1"/>
      <c r="E56" s="1"/>
    </row>
    <row r="57" spans="1:5" x14ac:dyDescent="0.3">
      <c r="A57" s="4"/>
      <c r="B57" s="1"/>
      <c r="C57" s="1" t="str">
        <f>IF(ISBLANK(B57),"",VLOOKUP(B57,LoggerMaster!$A$2:$B$13,2,FALSE))</f>
        <v/>
      </c>
      <c r="D57" s="1"/>
      <c r="E57" s="1"/>
    </row>
    <row r="58" spans="1:5" x14ac:dyDescent="0.3">
      <c r="A58" s="4"/>
      <c r="B58" s="1"/>
      <c r="C58" s="1" t="str">
        <f>IF(ISBLANK(B58),"",VLOOKUP(B58,LoggerMaster!$A$2:$B$13,2,FALSE))</f>
        <v/>
      </c>
      <c r="D58" s="1"/>
      <c r="E58" s="1"/>
    </row>
    <row r="59" spans="1:5" x14ac:dyDescent="0.3">
      <c r="A59" s="4"/>
      <c r="B59" s="1"/>
      <c r="C59" s="1" t="str">
        <f>IF(ISBLANK(B59),"",VLOOKUP(B59,LoggerMaster!$A$2:$B$13,2,FALSE))</f>
        <v/>
      </c>
      <c r="D59" s="1"/>
      <c r="E59" s="1"/>
    </row>
    <row r="60" spans="1:5" x14ac:dyDescent="0.3">
      <c r="A60" s="4"/>
      <c r="B60" s="1"/>
      <c r="C60" s="1" t="str">
        <f>IF(ISBLANK(B60),"",VLOOKUP(B60,LoggerMaster!$A$2:$B$13,2,FALSE))</f>
        <v/>
      </c>
      <c r="D60" s="1"/>
      <c r="E60" s="1"/>
    </row>
    <row r="61" spans="1:5" x14ac:dyDescent="0.3">
      <c r="A61" s="4"/>
      <c r="B61" s="1"/>
      <c r="C61" s="1" t="str">
        <f>IF(ISBLANK(B61),"",VLOOKUP(B61,LoggerMaster!$A$2:$B$13,2,FALSE))</f>
        <v/>
      </c>
      <c r="D61" s="1"/>
      <c r="E61" s="1"/>
    </row>
    <row r="62" spans="1:5" x14ac:dyDescent="0.3">
      <c r="A62" s="4"/>
      <c r="B62" s="1"/>
      <c r="C62" s="1" t="str">
        <f>IF(ISBLANK(B62),"",VLOOKUP(B62,LoggerMaster!$A$2:$B$13,2,FALSE))</f>
        <v/>
      </c>
      <c r="D62" s="1"/>
      <c r="E62" s="1"/>
    </row>
    <row r="63" spans="1:5" x14ac:dyDescent="0.3">
      <c r="A63" s="4"/>
      <c r="B63" s="1"/>
      <c r="C63" s="1" t="str">
        <f>IF(ISBLANK(B63),"",VLOOKUP(B63,LoggerMaster!$A$2:$B$13,2,FALSE))</f>
        <v/>
      </c>
      <c r="D63" s="1"/>
      <c r="E63" s="1"/>
    </row>
    <row r="64" spans="1:5" x14ac:dyDescent="0.3">
      <c r="A64" s="4"/>
      <c r="B64" s="1"/>
      <c r="C64" s="1" t="str">
        <f>IF(ISBLANK(B64),"",VLOOKUP(B64,LoggerMaster!$A$2:$B$13,2,FALSE))</f>
        <v/>
      </c>
      <c r="D64" s="1"/>
      <c r="E64" s="1"/>
    </row>
    <row r="65" spans="1:5" x14ac:dyDescent="0.3">
      <c r="A65" s="4"/>
      <c r="B65" s="1"/>
      <c r="C65" s="1" t="str">
        <f>IF(ISBLANK(B65),"",VLOOKUP(B65,LoggerMaster!$A$2:$B$13,2,FALSE))</f>
        <v/>
      </c>
      <c r="D65" s="1"/>
      <c r="E65" s="1"/>
    </row>
    <row r="66" spans="1:5" x14ac:dyDescent="0.3">
      <c r="A66" s="4"/>
      <c r="B66" s="1"/>
      <c r="C66" s="1" t="str">
        <f>IF(ISBLANK(B66),"",VLOOKUP(B66,LoggerMaster!$A$2:$B$13,2,FALSE))</f>
        <v/>
      </c>
      <c r="D66" s="1"/>
      <c r="E66" s="1"/>
    </row>
    <row r="67" spans="1:5" x14ac:dyDescent="0.3">
      <c r="A67" s="4"/>
      <c r="B67" s="1"/>
      <c r="C67" s="1" t="str">
        <f>IF(ISBLANK(B67),"",VLOOKUP(B67,LoggerMaster!$A$2:$B$13,2,FALSE))</f>
        <v/>
      </c>
      <c r="D67" s="1"/>
      <c r="E67" s="1"/>
    </row>
    <row r="68" spans="1:5" x14ac:dyDescent="0.3">
      <c r="A68" s="4"/>
      <c r="B68" s="1"/>
      <c r="C68" s="1" t="str">
        <f>IF(ISBLANK(B68),"",VLOOKUP(B68,LoggerMaster!$A$2:$B$13,2,FALSE))</f>
        <v/>
      </c>
      <c r="D68" s="1"/>
      <c r="E68" s="1"/>
    </row>
    <row r="69" spans="1:5" x14ac:dyDescent="0.3">
      <c r="A69" s="4"/>
      <c r="B69" s="1"/>
      <c r="C69" s="1" t="str">
        <f>IF(ISBLANK(B69),"",VLOOKUP(B69,LoggerMaster!$A$2:$B$13,2,FALSE))</f>
        <v/>
      </c>
      <c r="D69" s="1"/>
      <c r="E69" s="1"/>
    </row>
    <row r="70" spans="1:5" x14ac:dyDescent="0.3">
      <c r="A70" s="4"/>
      <c r="B70" s="1"/>
      <c r="C70" s="1" t="str">
        <f>IF(ISBLANK(B70),"",VLOOKUP(B70,LoggerMaster!$A$2:$B$13,2,FALSE))</f>
        <v/>
      </c>
      <c r="D70" s="1"/>
      <c r="E70" s="1"/>
    </row>
    <row r="71" spans="1:5" x14ac:dyDescent="0.3">
      <c r="A71" s="4"/>
      <c r="B71" s="1"/>
      <c r="C71" s="1" t="str">
        <f>IF(ISBLANK(B71),"",VLOOKUP(B71,LoggerMaster!$A$2:$B$13,2,FALSE))</f>
        <v/>
      </c>
      <c r="D71" s="1"/>
      <c r="E71" s="1"/>
    </row>
    <row r="72" spans="1:5" x14ac:dyDescent="0.3">
      <c r="A72" s="4"/>
      <c r="B72" s="1"/>
      <c r="C72" s="1" t="str">
        <f>IF(ISBLANK(B72),"",VLOOKUP(B72,LoggerMaster!$A$2:$B$13,2,FALSE))</f>
        <v/>
      </c>
      <c r="D72" s="1"/>
      <c r="E72" s="1"/>
    </row>
    <row r="73" spans="1:5" x14ac:dyDescent="0.3">
      <c r="A73" s="4"/>
      <c r="B73" s="1"/>
      <c r="C73" s="1" t="str">
        <f>IF(ISBLANK(B73),"",VLOOKUP(B73,LoggerMaster!$A$2:$B$13,2,FALSE))</f>
        <v/>
      </c>
      <c r="E73" s="1"/>
    </row>
    <row r="74" spans="1:5" x14ac:dyDescent="0.3">
      <c r="A74" s="4"/>
      <c r="B74" s="1"/>
      <c r="C74" s="1" t="str">
        <f>IF(ISBLANK(B74),"",VLOOKUP(B74,LoggerMaster!$A$2:$B$13,2,FALSE))</f>
        <v/>
      </c>
      <c r="D74" s="1"/>
      <c r="E74" s="1"/>
    </row>
    <row r="75" spans="1:5" x14ac:dyDescent="0.3">
      <c r="A75" s="4"/>
      <c r="B75" s="1"/>
      <c r="C75" s="1" t="str">
        <f>IF(ISBLANK(B75),"",VLOOKUP(B75,LoggerMaster!$A$2:$B$13,2,FALSE))</f>
        <v/>
      </c>
      <c r="D75" s="1"/>
      <c r="E75" s="1"/>
    </row>
    <row r="76" spans="1:5" x14ac:dyDescent="0.3">
      <c r="A76" s="4"/>
      <c r="B76" s="1"/>
      <c r="C76" s="1" t="str">
        <f>IF(ISBLANK(B76),"",VLOOKUP(B76,LoggerMaster!$A$2:$B$13,2,FALSE))</f>
        <v/>
      </c>
      <c r="D76" s="1"/>
      <c r="E76" s="1"/>
    </row>
    <row r="77" spans="1:5" x14ac:dyDescent="0.3">
      <c r="A77" s="4"/>
      <c r="B77" s="1"/>
      <c r="C77" s="1" t="str">
        <f>IF(ISBLANK(B77),"",VLOOKUP(B77,LoggerMaster!$A$2:$B$13,2,FALSE))</f>
        <v/>
      </c>
      <c r="D77" s="1"/>
      <c r="E77" s="1"/>
    </row>
    <row r="78" spans="1:5" x14ac:dyDescent="0.3">
      <c r="A78" s="4"/>
      <c r="B78" s="1"/>
      <c r="C78" s="1" t="str">
        <f>IF(ISBLANK(B78),"",VLOOKUP(B78,LoggerMaster!$A$2:$B$13,2,FALSE))</f>
        <v/>
      </c>
      <c r="D78" s="1"/>
      <c r="E78" s="1"/>
    </row>
    <row r="79" spans="1:5" x14ac:dyDescent="0.3">
      <c r="A79" s="4"/>
      <c r="B79" s="1"/>
      <c r="C79" s="1" t="str">
        <f>IF(ISBLANK(B79),"",VLOOKUP(B79,LoggerMaster!$A$2:$B$13,2,FALSE))</f>
        <v/>
      </c>
      <c r="D79" s="1"/>
      <c r="E79" s="1"/>
    </row>
    <row r="80" spans="1:5" x14ac:dyDescent="0.3">
      <c r="A80" s="4"/>
      <c r="B80" s="1"/>
      <c r="C80" s="1" t="str">
        <f>IF(ISBLANK(B80),"",VLOOKUP(B80,LoggerMaster!$A$2:$B$13,2,FALSE))</f>
        <v/>
      </c>
      <c r="D80" s="1"/>
      <c r="E80" s="1"/>
    </row>
    <row r="81" spans="1:5" x14ac:dyDescent="0.3">
      <c r="A81" s="4"/>
      <c r="B81" s="1"/>
      <c r="C81" s="1" t="str">
        <f>IF(ISBLANK(B81),"",VLOOKUP(B81,LoggerMaster!$A$2:$B$13,2,FALSE))</f>
        <v/>
      </c>
      <c r="D81" s="1"/>
      <c r="E81" s="1"/>
    </row>
    <row r="82" spans="1:5" x14ac:dyDescent="0.3">
      <c r="A82" s="4"/>
      <c r="B82" s="1"/>
      <c r="C82" s="1" t="str">
        <f>IF(ISBLANK(B82),"",VLOOKUP(B82,LoggerMaster!$A$2:$B$13,2,FALSE))</f>
        <v/>
      </c>
      <c r="D82" s="1"/>
      <c r="E82" s="1"/>
    </row>
    <row r="83" spans="1:5" x14ac:dyDescent="0.3">
      <c r="A83" s="4"/>
      <c r="B83" s="1"/>
      <c r="C83" s="1" t="str">
        <f>IF(ISBLANK(B83),"",VLOOKUP(B83,LoggerMaster!$A$2:$B$13,2,FALSE))</f>
        <v/>
      </c>
      <c r="D83" s="1"/>
      <c r="E83" s="1"/>
    </row>
    <row r="84" spans="1:5" x14ac:dyDescent="0.3">
      <c r="A84" s="4"/>
      <c r="B84" s="1"/>
      <c r="C84" s="1" t="str">
        <f>IF(ISBLANK(B84),"",VLOOKUP(B84,LoggerMaster!$A$2:$B$13,2,FALSE))</f>
        <v/>
      </c>
      <c r="D84" s="1"/>
      <c r="E84" s="1"/>
    </row>
    <row r="85" spans="1:5" x14ac:dyDescent="0.3">
      <c r="A85" s="4"/>
      <c r="B85" s="1"/>
      <c r="C85" s="1" t="str">
        <f>IF(ISBLANK(B85),"",VLOOKUP(B85,LoggerMaster!$A$2:$B$13,2,FALSE))</f>
        <v/>
      </c>
      <c r="D85" s="1"/>
      <c r="E85" s="1"/>
    </row>
    <row r="86" spans="1:5" x14ac:dyDescent="0.3">
      <c r="A86" s="4"/>
      <c r="B86" s="1"/>
      <c r="C86" s="1" t="str">
        <f>IF(ISBLANK(B86),"",VLOOKUP(B86,LoggerMaster!$A$2:$B$13,2,FALSE))</f>
        <v/>
      </c>
      <c r="D86" s="1"/>
      <c r="E86" s="1"/>
    </row>
    <row r="87" spans="1:5" x14ac:dyDescent="0.3">
      <c r="A87" s="4"/>
      <c r="B87" s="1"/>
      <c r="C87" s="1" t="str">
        <f>IF(ISBLANK(B87),"",VLOOKUP(B87,LoggerMaster!$A$2:$B$13,2,FALSE))</f>
        <v/>
      </c>
      <c r="D87" s="1"/>
      <c r="E87" s="1"/>
    </row>
    <row r="88" spans="1:5" x14ac:dyDescent="0.3">
      <c r="A88" s="4"/>
      <c r="B88" s="1"/>
      <c r="C88" s="1" t="str">
        <f>IF(ISBLANK(B88),"",VLOOKUP(B88,LoggerMaster!$A$2:$B$13,2,FALSE))</f>
        <v/>
      </c>
      <c r="D88" s="1"/>
      <c r="E88" s="1"/>
    </row>
    <row r="89" spans="1:5" x14ac:dyDescent="0.3">
      <c r="A89" s="4"/>
      <c r="B89" s="1"/>
      <c r="C89" s="1" t="str">
        <f>IF(ISBLANK(B89),"",VLOOKUP(B89,LoggerMaster!$A$2:$B$13,2,FALSE))</f>
        <v/>
      </c>
      <c r="D89" s="1"/>
      <c r="E89" s="1"/>
    </row>
    <row r="90" spans="1:5" x14ac:dyDescent="0.3">
      <c r="A90" s="4"/>
      <c r="B90" s="1"/>
      <c r="C90" s="1" t="str">
        <f>IF(ISBLANK(B90),"",VLOOKUP(B90,LoggerMaster!$A$2:$B$13,2,FALSE))</f>
        <v/>
      </c>
      <c r="D90" s="1"/>
      <c r="E90" s="1"/>
    </row>
    <row r="91" spans="1:5" x14ac:dyDescent="0.3">
      <c r="A91" s="4"/>
      <c r="B91" s="1"/>
      <c r="C91" s="1" t="str">
        <f>IF(ISBLANK(B91),"",VLOOKUP(B91,LoggerMaster!$A$2:$B$13,2,FALSE))</f>
        <v/>
      </c>
      <c r="D91" s="1"/>
      <c r="E91" s="1"/>
    </row>
    <row r="92" spans="1:5" x14ac:dyDescent="0.3">
      <c r="A92" s="4"/>
      <c r="B92" s="1"/>
      <c r="C92" s="1" t="str">
        <f>IF(ISBLANK(B92),"",VLOOKUP(B92,LoggerMaster!$A$2:$B$13,2,FALSE))</f>
        <v/>
      </c>
      <c r="D92" s="1"/>
      <c r="E92" s="1"/>
    </row>
    <row r="93" spans="1:5" x14ac:dyDescent="0.3">
      <c r="A93" s="4"/>
      <c r="B93" s="1"/>
      <c r="C93" s="1" t="str">
        <f>IF(ISBLANK(B93),"",VLOOKUP(B93,LoggerMaster!$A$2:$B$13,2,FALSE))</f>
        <v/>
      </c>
      <c r="D93" s="1"/>
      <c r="E93" s="1"/>
    </row>
    <row r="94" spans="1:5" x14ac:dyDescent="0.3">
      <c r="A94" s="4"/>
      <c r="B94" s="1"/>
      <c r="C94" s="1" t="str">
        <f>IF(ISBLANK(B94),"",VLOOKUP(B94,LoggerMaster!$A$2:$B$13,2,FALSE))</f>
        <v/>
      </c>
      <c r="D94" s="1"/>
      <c r="E94" s="1"/>
    </row>
    <row r="95" spans="1:5" x14ac:dyDescent="0.3">
      <c r="A95" s="4"/>
      <c r="B95" s="1"/>
      <c r="C95" s="1" t="str">
        <f>IF(ISBLANK(B95),"",VLOOKUP(B95,LoggerMaster!$A$2:$B$13,2,FALSE))</f>
        <v/>
      </c>
      <c r="D95" s="1"/>
      <c r="E95" s="1"/>
    </row>
    <row r="96" spans="1:5" x14ac:dyDescent="0.3">
      <c r="A96" s="4"/>
      <c r="B96" s="1"/>
      <c r="C96" s="1" t="str">
        <f>IF(ISBLANK(B96),"",VLOOKUP(B96,LoggerMaster!$A$2:$B$13,2,FALSE))</f>
        <v/>
      </c>
      <c r="D96" s="1"/>
      <c r="E96" s="1"/>
    </row>
    <row r="97" spans="1:5" x14ac:dyDescent="0.3">
      <c r="A97" s="4"/>
      <c r="B97" s="1"/>
      <c r="C97" s="1" t="str">
        <f>IF(ISBLANK(B97),"",VLOOKUP(B97,LoggerMaster!$A$2:$B$13,2,FALSE))</f>
        <v/>
      </c>
      <c r="D97" s="1"/>
      <c r="E97" s="1"/>
    </row>
    <row r="98" spans="1:5" x14ac:dyDescent="0.3">
      <c r="A98" s="4"/>
      <c r="B98" s="1"/>
      <c r="C98" s="1" t="str">
        <f>IF(ISBLANK(B98),"",VLOOKUP(B98,LoggerMaster!$A$2:$B$13,2,FALSE))</f>
        <v/>
      </c>
      <c r="D98" s="1"/>
      <c r="E98" s="1"/>
    </row>
    <row r="99" spans="1:5" x14ac:dyDescent="0.3">
      <c r="A99" s="4"/>
      <c r="B99" s="1"/>
      <c r="C99" s="1" t="str">
        <f>IF(ISBLANK(B99),"",VLOOKUP(B99,LoggerMaster!$A$2:$B$13,2,FALSE))</f>
        <v/>
      </c>
      <c r="D99" s="1"/>
      <c r="E99" s="1"/>
    </row>
    <row r="100" spans="1:5" x14ac:dyDescent="0.3">
      <c r="A100" s="4"/>
      <c r="B100" s="1"/>
      <c r="C100" s="1" t="str">
        <f>IF(ISBLANK(B100),"",VLOOKUP(B100,LoggerMaster!$A$2:$B$13,2,FALSE))</f>
        <v/>
      </c>
      <c r="D100" s="1"/>
      <c r="E100" s="1"/>
    </row>
    <row r="101" spans="1:5" x14ac:dyDescent="0.3">
      <c r="A101" s="4"/>
      <c r="B101" s="1"/>
      <c r="C101" s="1" t="str">
        <f>IF(ISBLANK(B101),"",VLOOKUP(B101,LoggerMaster!$A$2:$B$13,2,FALSE))</f>
        <v/>
      </c>
      <c r="D101" s="1"/>
      <c r="E101" s="1"/>
    </row>
    <row r="102" spans="1:5" x14ac:dyDescent="0.3">
      <c r="A102" s="4"/>
      <c r="B102" s="1"/>
      <c r="C102" s="1" t="str">
        <f>IF(ISBLANK(B102),"",VLOOKUP(B102,LoggerMaster!$A$2:$B$13,2,FALSE))</f>
        <v/>
      </c>
      <c r="D102" s="1"/>
      <c r="E102" s="1"/>
    </row>
    <row r="103" spans="1:5" x14ac:dyDescent="0.3">
      <c r="A103" s="4"/>
      <c r="B103" s="1"/>
      <c r="C103" s="1" t="str">
        <f>IF(ISBLANK(B103),"",VLOOKUP(B103,LoggerMaster!$A$2:$B$13,2,FALSE))</f>
        <v/>
      </c>
      <c r="D103" s="1"/>
      <c r="E103" s="1"/>
    </row>
    <row r="104" spans="1:5" x14ac:dyDescent="0.3">
      <c r="A104" s="4"/>
      <c r="B104" s="1"/>
      <c r="C104" s="1" t="str">
        <f>IF(ISBLANK(B104),"",VLOOKUP(B104,LoggerMaster!$A$2:$B$13,2,FALSE))</f>
        <v/>
      </c>
      <c r="D104" s="1"/>
      <c r="E104" s="1"/>
    </row>
    <row r="105" spans="1:5" x14ac:dyDescent="0.3">
      <c r="A105" s="4"/>
      <c r="B105" s="1"/>
      <c r="C105" s="1" t="str">
        <f>IF(ISBLANK(B105),"",VLOOKUP(B105,LoggerMaster!$A$2:$B$13,2,FALSE))</f>
        <v/>
      </c>
      <c r="D105" s="1"/>
      <c r="E105" s="1"/>
    </row>
    <row r="106" spans="1:5" x14ac:dyDescent="0.3">
      <c r="A106" s="4"/>
      <c r="B106" s="1"/>
      <c r="C106" s="1" t="str">
        <f>IF(ISBLANK(B106),"",VLOOKUP(B106,LoggerMaster!$A$2:$B$13,2,FALSE))</f>
        <v/>
      </c>
      <c r="D106" s="1"/>
      <c r="E106" s="1"/>
    </row>
    <row r="107" spans="1:5" x14ac:dyDescent="0.3">
      <c r="A107" s="4"/>
      <c r="B107" s="1"/>
      <c r="C107" s="1" t="str">
        <f>IF(ISBLANK(B107),"",VLOOKUP(B107,LoggerMaster!$A$2:$B$13,2,FALSE))</f>
        <v/>
      </c>
      <c r="D107" s="1"/>
      <c r="E107" s="1"/>
    </row>
    <row r="108" spans="1:5" x14ac:dyDescent="0.3">
      <c r="A108" s="4"/>
      <c r="B108" s="1"/>
      <c r="C108" s="1" t="str">
        <f>IF(ISBLANK(B108),"",VLOOKUP(B108,LoggerMaster!$A$2:$B$13,2,FALSE))</f>
        <v/>
      </c>
      <c r="D108" s="1"/>
      <c r="E108" s="1"/>
    </row>
    <row r="109" spans="1:5" x14ac:dyDescent="0.3">
      <c r="A109" s="4"/>
      <c r="B109" s="1"/>
      <c r="C109" s="1" t="str">
        <f>IF(ISBLANK(B109),"",VLOOKUP(B109,LoggerMaster!$A$2:$B$13,2,FALSE))</f>
        <v/>
      </c>
      <c r="D109" s="1"/>
      <c r="E109" s="1"/>
    </row>
    <row r="110" spans="1:5" x14ac:dyDescent="0.3">
      <c r="A110" s="4"/>
      <c r="B110" s="1"/>
      <c r="C110" s="1" t="str">
        <f>IF(ISBLANK(B110),"",VLOOKUP(B110,LoggerMaster!$A$2:$B$13,2,FALSE))</f>
        <v/>
      </c>
      <c r="D110" s="1"/>
      <c r="E110" s="1"/>
    </row>
    <row r="111" spans="1:5" x14ac:dyDescent="0.3">
      <c r="A111" s="4"/>
      <c r="B111" s="1"/>
      <c r="C111" s="1" t="str">
        <f>IF(ISBLANK(B111),"",VLOOKUP(B111,LoggerMaster!$A$2:$B$13,2,FALSE))</f>
        <v/>
      </c>
      <c r="D111" s="1"/>
      <c r="E111" s="1"/>
    </row>
    <row r="112" spans="1:5" x14ac:dyDescent="0.3">
      <c r="A112" s="4"/>
      <c r="B112" s="1"/>
      <c r="C112" s="1" t="str">
        <f>IF(ISBLANK(B112),"",VLOOKUP(B112,LoggerMaster!$A$2:$B$13,2,FALSE))</f>
        <v/>
      </c>
      <c r="D112" s="1"/>
      <c r="E112" s="1"/>
    </row>
    <row r="113" spans="1:5" x14ac:dyDescent="0.3">
      <c r="A113" s="4"/>
      <c r="B113" s="1"/>
      <c r="C113" s="1" t="str">
        <f>IF(ISBLANK(B113),"",VLOOKUP(B113,LoggerMaster!$A$2:$B$13,2,FALSE))</f>
        <v/>
      </c>
      <c r="D113" s="1"/>
      <c r="E113" s="1"/>
    </row>
    <row r="114" spans="1:5" x14ac:dyDescent="0.3">
      <c r="A114" s="4"/>
      <c r="B114" s="1"/>
      <c r="C114" s="1" t="str">
        <f>IF(ISBLANK(B114),"",VLOOKUP(B114,LoggerMaster!$A$2:$B$13,2,FALSE))</f>
        <v/>
      </c>
      <c r="D114" s="1"/>
      <c r="E114" s="1"/>
    </row>
    <row r="115" spans="1:5" x14ac:dyDescent="0.3">
      <c r="A115" s="4"/>
      <c r="B115" s="1"/>
      <c r="C115" s="1" t="str">
        <f>IF(ISBLANK(B115),"",VLOOKUP(B115,LoggerMaster!$A$2:$B$13,2,FALSE))</f>
        <v/>
      </c>
      <c r="D115" s="1"/>
      <c r="E115" s="1"/>
    </row>
    <row r="116" spans="1:5" x14ac:dyDescent="0.3">
      <c r="A116" s="4"/>
      <c r="B116" s="1"/>
      <c r="C116" s="1" t="str">
        <f>IF(ISBLANK(B116),"",VLOOKUP(B116,LoggerMaster!$A$2:$B$13,2,FALSE))</f>
        <v/>
      </c>
      <c r="D116" s="1"/>
      <c r="E116" s="1"/>
    </row>
    <row r="117" spans="1:5" x14ac:dyDescent="0.3">
      <c r="A117" s="4"/>
      <c r="B117" s="1"/>
      <c r="C117" s="1" t="str">
        <f>IF(ISBLANK(B117),"",VLOOKUP(B117,LoggerMaster!$A$2:$B$13,2,FALSE))</f>
        <v/>
      </c>
      <c r="D117" s="1"/>
      <c r="E117" s="1"/>
    </row>
    <row r="118" spans="1:5" x14ac:dyDescent="0.3">
      <c r="A118" s="4"/>
      <c r="B118" s="1"/>
      <c r="C118" s="1" t="str">
        <f>IF(ISBLANK(B118),"",VLOOKUP(B118,LoggerMaster!$A$2:$B$13,2,FALSE))</f>
        <v/>
      </c>
      <c r="D118" s="1"/>
      <c r="E118" s="1"/>
    </row>
    <row r="119" spans="1:5" x14ac:dyDescent="0.3">
      <c r="A119" s="4"/>
      <c r="B119" s="1"/>
      <c r="C119" s="1" t="str">
        <f>IF(ISBLANK(B119),"",VLOOKUP(B119,LoggerMaster!$A$2:$B$13,2,FALSE))</f>
        <v/>
      </c>
      <c r="D119" s="1"/>
      <c r="E119" s="1"/>
    </row>
    <row r="120" spans="1:5" x14ac:dyDescent="0.3">
      <c r="A120" s="4"/>
      <c r="B120" s="1"/>
      <c r="C120" s="1" t="str">
        <f>IF(ISBLANK(B120),"",VLOOKUP(B120,LoggerMaster!$A$2:$B$13,2,FALSE))</f>
        <v/>
      </c>
      <c r="D120" s="1"/>
      <c r="E120" s="1"/>
    </row>
    <row r="121" spans="1:5" x14ac:dyDescent="0.3">
      <c r="A121" s="4"/>
      <c r="B121" s="1"/>
      <c r="C121" s="1" t="str">
        <f>IF(ISBLANK(B121),"",VLOOKUP(B121,LoggerMaster!$A$2:$B$13,2,FALSE))</f>
        <v/>
      </c>
      <c r="D121" s="1"/>
      <c r="E121" s="1"/>
    </row>
    <row r="122" spans="1:5" x14ac:dyDescent="0.3">
      <c r="A122" s="4"/>
      <c r="B122" s="1"/>
      <c r="C122" s="1" t="str">
        <f>IF(ISBLANK(B122),"",VLOOKUP(B122,LoggerMaster!$A$2:$B$13,2,FALSE))</f>
        <v/>
      </c>
      <c r="D122" s="1"/>
      <c r="E122" s="1"/>
    </row>
    <row r="123" spans="1:5" x14ac:dyDescent="0.3">
      <c r="A123" s="4"/>
      <c r="B123" s="1"/>
      <c r="C123" s="1" t="str">
        <f>IF(ISBLANK(B123),"",VLOOKUP(B123,LoggerMaster!$A$2:$B$13,2,FALSE))</f>
        <v/>
      </c>
      <c r="D123" s="1"/>
      <c r="E123" s="1"/>
    </row>
    <row r="124" spans="1:5" x14ac:dyDescent="0.3">
      <c r="A124" s="4"/>
      <c r="B124" s="1"/>
      <c r="C124" s="1" t="str">
        <f>IF(ISBLANK(B124),"",VLOOKUP(B124,LoggerMaster!$A$2:$B$13,2,FALSE))</f>
        <v/>
      </c>
      <c r="D124" s="1"/>
      <c r="E124" s="1"/>
    </row>
    <row r="125" spans="1:5" x14ac:dyDescent="0.3">
      <c r="A125" s="4"/>
      <c r="B125" s="1"/>
      <c r="C125" s="1" t="str">
        <f>IF(ISBLANK(B125),"",VLOOKUP(B125,LoggerMaster!$A$2:$B$13,2,FALSE))</f>
        <v/>
      </c>
      <c r="D125" s="1"/>
      <c r="E125" s="1"/>
    </row>
    <row r="126" spans="1:5" x14ac:dyDescent="0.3">
      <c r="A126" s="4"/>
      <c r="B126" s="1"/>
      <c r="C126" s="1" t="str">
        <f>IF(ISBLANK(B126),"",VLOOKUP(B126,LoggerMaster!$A$2:$B$13,2,FALSE))</f>
        <v/>
      </c>
      <c r="D126" s="1"/>
      <c r="E126" s="1"/>
    </row>
    <row r="127" spans="1:5" x14ac:dyDescent="0.3">
      <c r="A127" s="4"/>
      <c r="B127" s="1"/>
      <c r="C127" s="1" t="str">
        <f>IF(ISBLANK(B127),"",VLOOKUP(B127,LoggerMaster!$A$2:$B$13,2,FALSE))</f>
        <v/>
      </c>
      <c r="D127" s="1"/>
      <c r="E127" s="1"/>
    </row>
    <row r="128" spans="1:5" x14ac:dyDescent="0.3">
      <c r="A128" s="4"/>
      <c r="B128" s="1"/>
      <c r="C128" s="1" t="str">
        <f>IF(ISBLANK(B128),"",VLOOKUP(B128,LoggerMaster!$A$2:$B$13,2,FALSE))</f>
        <v/>
      </c>
      <c r="D128" s="1"/>
      <c r="E128" s="1"/>
    </row>
    <row r="129" spans="1:5" x14ac:dyDescent="0.3">
      <c r="A129" s="4"/>
      <c r="B129" s="1"/>
      <c r="C129" s="1" t="str">
        <f>IF(ISBLANK(B129),"",VLOOKUP(B129,LoggerMaster!$A$2:$B$13,2,FALSE))</f>
        <v/>
      </c>
      <c r="D129" s="1"/>
      <c r="E129" s="1"/>
    </row>
    <row r="130" spans="1:5" x14ac:dyDescent="0.3">
      <c r="A130" s="4"/>
      <c r="B130" s="1"/>
      <c r="C130" s="1" t="str">
        <f>IF(ISBLANK(B130),"",VLOOKUP(B130,LoggerMaster!$A$2:$B$13,2,FALSE))</f>
        <v/>
      </c>
      <c r="D130" s="1"/>
      <c r="E130" s="1"/>
    </row>
    <row r="131" spans="1:5" x14ac:dyDescent="0.3">
      <c r="A131" s="4"/>
      <c r="B131" s="1"/>
      <c r="C131" s="1" t="str">
        <f>IF(ISBLANK(B131),"",VLOOKUP(B131,LoggerMaster!$A$2:$B$13,2,FALSE))</f>
        <v/>
      </c>
      <c r="D131" s="1"/>
      <c r="E131" s="1"/>
    </row>
    <row r="132" spans="1:5" x14ac:dyDescent="0.3">
      <c r="A132" s="4"/>
      <c r="B132" s="1"/>
      <c r="C132" s="1" t="str">
        <f>IF(ISBLANK(B132),"",VLOOKUP(B132,LoggerMaster!$A$2:$B$13,2,FALSE))</f>
        <v/>
      </c>
      <c r="D132" s="1"/>
      <c r="E132" s="1"/>
    </row>
    <row r="133" spans="1:5" x14ac:dyDescent="0.3">
      <c r="A133" s="4"/>
      <c r="B133" s="1"/>
      <c r="C133" s="1" t="str">
        <f>IF(ISBLANK(B133),"",VLOOKUP(B133,LoggerMaster!$A$2:$B$13,2,FALSE))</f>
        <v/>
      </c>
      <c r="D133" s="1"/>
      <c r="E133" s="1"/>
    </row>
    <row r="134" spans="1:5" x14ac:dyDescent="0.3">
      <c r="A134" s="4"/>
      <c r="B134" s="1"/>
      <c r="C134" s="1" t="str">
        <f>IF(ISBLANK(B134),"",VLOOKUP(B134,LoggerMaster!$A$2:$B$13,2,FALSE))</f>
        <v/>
      </c>
      <c r="D134" s="1"/>
      <c r="E134" s="1"/>
    </row>
    <row r="135" spans="1:5" x14ac:dyDescent="0.3">
      <c r="A135" s="4"/>
      <c r="B135" s="1"/>
      <c r="C135" s="1" t="str">
        <f>IF(ISBLANK(B135),"",VLOOKUP(B135,LoggerMaster!$A$2:$B$13,2,FALSE))</f>
        <v/>
      </c>
      <c r="D135" s="1"/>
      <c r="E135" s="1"/>
    </row>
    <row r="136" spans="1:5" x14ac:dyDescent="0.3">
      <c r="A136" s="4"/>
      <c r="B136" s="1"/>
      <c r="C136" s="1" t="str">
        <f>IF(ISBLANK(B136),"",VLOOKUP(B136,LoggerMaster!$A$2:$B$13,2,FALSE))</f>
        <v/>
      </c>
      <c r="D136" s="1"/>
      <c r="E136" s="1"/>
    </row>
    <row r="137" spans="1:5" x14ac:dyDescent="0.3">
      <c r="A137" s="4"/>
      <c r="B137" s="1"/>
      <c r="C137" s="1" t="str">
        <f>IF(ISBLANK(B137),"",VLOOKUP(B137,LoggerMaster!$A$2:$B$13,2,FALSE))</f>
        <v/>
      </c>
      <c r="D137" s="1"/>
      <c r="E137" s="1"/>
    </row>
    <row r="138" spans="1:5" x14ac:dyDescent="0.3">
      <c r="A138" s="4"/>
      <c r="B138" s="1"/>
      <c r="C138" s="1" t="str">
        <f>IF(ISBLANK(B138),"",VLOOKUP(B138,LoggerMaster!$A$2:$B$13,2,FALSE))</f>
        <v/>
      </c>
      <c r="D138" s="1"/>
      <c r="E138" s="1"/>
    </row>
    <row r="139" spans="1:5" x14ac:dyDescent="0.3">
      <c r="A139" s="4"/>
      <c r="B139" s="1"/>
      <c r="C139" s="1" t="str">
        <f>IF(ISBLANK(B139),"",VLOOKUP(B139,LoggerMaster!$A$2:$B$13,2,FALSE))</f>
        <v/>
      </c>
      <c r="D139" s="1"/>
      <c r="E139" s="1"/>
    </row>
    <row r="140" spans="1:5" x14ac:dyDescent="0.3">
      <c r="A140" s="4"/>
      <c r="B140" s="1"/>
      <c r="C140" s="1" t="str">
        <f>IF(ISBLANK(B140),"",VLOOKUP(B140,LoggerMaster!$A$2:$B$13,2,FALSE))</f>
        <v/>
      </c>
      <c r="D140" s="1"/>
      <c r="E140" s="1"/>
    </row>
    <row r="141" spans="1:5" x14ac:dyDescent="0.3">
      <c r="A141" s="4"/>
      <c r="B141" s="1"/>
      <c r="C141" s="1" t="str">
        <f>IF(ISBLANK(B141),"",VLOOKUP(B141,LoggerMaster!$A$2:$B$13,2,FALSE))</f>
        <v/>
      </c>
      <c r="D141" s="1"/>
      <c r="E141" s="1"/>
    </row>
    <row r="142" spans="1:5" x14ac:dyDescent="0.3">
      <c r="A142" s="4"/>
      <c r="B142" s="1"/>
      <c r="C142" s="1" t="str">
        <f>IF(ISBLANK(B142),"",VLOOKUP(B142,LoggerMaster!$A$2:$B$13,2,FALSE))</f>
        <v/>
      </c>
      <c r="D142" s="1"/>
      <c r="E142" s="1"/>
    </row>
    <row r="143" spans="1:5" x14ac:dyDescent="0.3">
      <c r="A143" s="4"/>
      <c r="B143" s="1"/>
      <c r="C143" s="1" t="str">
        <f>IF(ISBLANK(B143),"",VLOOKUP(B143,LoggerMaster!$A$2:$B$13,2,FALSE))</f>
        <v/>
      </c>
      <c r="D143" s="1"/>
      <c r="E143" s="1"/>
    </row>
    <row r="144" spans="1:5" x14ac:dyDescent="0.3">
      <c r="A144" s="4"/>
      <c r="B144" s="1"/>
      <c r="C144" s="1" t="str">
        <f>IF(ISBLANK(B144),"",VLOOKUP(B144,LoggerMaster!$A$2:$B$13,2,FALSE))</f>
        <v/>
      </c>
      <c r="D144" s="1"/>
      <c r="E144" s="1"/>
    </row>
    <row r="145" spans="1:5" x14ac:dyDescent="0.3">
      <c r="A145" s="4"/>
      <c r="B145" s="1"/>
      <c r="C145" s="1" t="str">
        <f>IF(ISBLANK(B145),"",VLOOKUP(B145,LoggerMaster!$A$2:$B$13,2,FALSE))</f>
        <v/>
      </c>
      <c r="D145" s="1"/>
      <c r="E145" s="1"/>
    </row>
    <row r="146" spans="1:5" x14ac:dyDescent="0.3">
      <c r="A146" s="4"/>
      <c r="B146" s="1"/>
      <c r="C146" s="1" t="str">
        <f>IF(ISBLANK(B146),"",VLOOKUP(B146,LoggerMaster!$A$2:$B$13,2,FALSE))</f>
        <v/>
      </c>
      <c r="D146" s="1"/>
      <c r="E146" s="1"/>
    </row>
    <row r="147" spans="1:5" x14ac:dyDescent="0.3">
      <c r="A147" s="4"/>
      <c r="B147" s="1"/>
      <c r="C147" s="1" t="str">
        <f>IF(ISBLANK(B147),"",VLOOKUP(B147,LoggerMaster!$A$2:$B$13,2,FALSE))</f>
        <v/>
      </c>
      <c r="D147" s="1"/>
      <c r="E147" s="1"/>
    </row>
    <row r="148" spans="1:5" x14ac:dyDescent="0.3">
      <c r="A148" s="4"/>
      <c r="B148" s="1"/>
      <c r="C148" s="1" t="str">
        <f>IF(ISBLANK(B148),"",VLOOKUP(B148,LoggerMaster!$A$2:$B$13,2,FALSE))</f>
        <v/>
      </c>
      <c r="D148" s="1"/>
      <c r="E148" s="1"/>
    </row>
    <row r="149" spans="1:5" x14ac:dyDescent="0.3">
      <c r="A149" s="4"/>
      <c r="B149" s="1"/>
      <c r="C149" s="1" t="str">
        <f>IF(ISBLANK(B149),"",VLOOKUP(B149,LoggerMaster!$A$2:$B$13,2,FALSE))</f>
        <v/>
      </c>
      <c r="D149" s="1"/>
      <c r="E149" s="1"/>
    </row>
    <row r="150" spans="1:5" x14ac:dyDescent="0.3">
      <c r="A150" s="4"/>
      <c r="B150" s="1"/>
      <c r="C150" s="1" t="str">
        <f>IF(ISBLANK(B150),"",VLOOKUP(B150,LoggerMaster!$A$2:$B$13,2,FALSE))</f>
        <v/>
      </c>
      <c r="D150" s="1"/>
      <c r="E150" s="1"/>
    </row>
    <row r="151" spans="1:5" x14ac:dyDescent="0.3">
      <c r="A151" s="4"/>
      <c r="B151" s="1"/>
      <c r="C151" s="1" t="str">
        <f>IF(ISBLANK(B151),"",VLOOKUP(B151,LoggerMaster!$A$2:$B$13,2,FALSE))</f>
        <v/>
      </c>
      <c r="D151" s="1"/>
      <c r="E151" s="1"/>
    </row>
    <row r="152" spans="1:5" x14ac:dyDescent="0.3">
      <c r="A152" s="4"/>
      <c r="B152" s="1"/>
      <c r="C152" s="1" t="str">
        <f>IF(ISBLANK(B152),"",VLOOKUP(B152,LoggerMaster!$A$2:$B$13,2,FALSE))</f>
        <v/>
      </c>
      <c r="D152" s="1"/>
      <c r="E152" s="1"/>
    </row>
    <row r="153" spans="1:5" x14ac:dyDescent="0.3">
      <c r="A153" s="4"/>
      <c r="B153" s="1"/>
      <c r="C153" s="1" t="str">
        <f>IF(ISBLANK(B153),"",VLOOKUP(B153,LoggerMaster!$A$2:$B$13,2,FALSE))</f>
        <v/>
      </c>
      <c r="D153" s="1"/>
      <c r="E153" s="1"/>
    </row>
    <row r="154" spans="1:5" x14ac:dyDescent="0.3">
      <c r="A154" s="4"/>
      <c r="B154" s="1"/>
      <c r="C154" s="1" t="str">
        <f>IF(ISBLANK(B154),"",VLOOKUP(B154,LoggerMaster!$A$2:$B$13,2,FALSE))</f>
        <v/>
      </c>
      <c r="D154" s="1"/>
      <c r="E154" s="1"/>
    </row>
    <row r="155" spans="1:5" x14ac:dyDescent="0.3">
      <c r="A155" s="4"/>
      <c r="B155" s="1"/>
      <c r="C155" s="1" t="str">
        <f>IF(ISBLANK(B155),"",VLOOKUP(B155,LoggerMaster!$A$2:$B$13,2,FALSE))</f>
        <v/>
      </c>
      <c r="D155" s="1"/>
      <c r="E155" s="1"/>
    </row>
    <row r="156" spans="1:5" x14ac:dyDescent="0.3">
      <c r="A156" s="4"/>
      <c r="B156" s="1"/>
      <c r="C156" s="1" t="str">
        <f>IF(ISBLANK(B156),"",VLOOKUP(B156,LoggerMaster!$A$2:$B$13,2,FALSE))</f>
        <v/>
      </c>
      <c r="D156" s="1"/>
      <c r="E156" s="1"/>
    </row>
    <row r="157" spans="1:5" x14ac:dyDescent="0.3">
      <c r="A157" s="4"/>
      <c r="B157" s="1"/>
      <c r="C157" s="1" t="str">
        <f>IF(ISBLANK(B157),"",VLOOKUP(B157,LoggerMaster!$A$2:$B$13,2,FALSE))</f>
        <v/>
      </c>
      <c r="D157" s="1"/>
      <c r="E157" s="1"/>
    </row>
    <row r="158" spans="1:5" x14ac:dyDescent="0.3">
      <c r="A158" s="4"/>
      <c r="B158" s="1"/>
      <c r="C158" s="1" t="str">
        <f>IF(ISBLANK(B158),"",VLOOKUP(B158,LoggerMaster!$A$2:$B$13,2,FALSE))</f>
        <v/>
      </c>
      <c r="D158" s="1"/>
      <c r="E158" s="1"/>
    </row>
    <row r="159" spans="1:5" x14ac:dyDescent="0.3">
      <c r="A159" s="4"/>
      <c r="B159" s="1"/>
      <c r="C159" s="1" t="str">
        <f>IF(ISBLANK(B159),"",VLOOKUP(B159,LoggerMaster!$A$2:$B$13,2,FALSE))</f>
        <v/>
      </c>
      <c r="D159" s="1"/>
      <c r="E159" s="1"/>
    </row>
    <row r="160" spans="1:5" x14ac:dyDescent="0.3">
      <c r="A160" s="4"/>
      <c r="B160" s="1"/>
      <c r="C160" s="1" t="str">
        <f>IF(ISBLANK(B160),"",VLOOKUP(B160,LoggerMaster!$A$2:$B$13,2,FALSE))</f>
        <v/>
      </c>
      <c r="D160" s="1"/>
      <c r="E160" s="1"/>
    </row>
    <row r="161" spans="1:5" x14ac:dyDescent="0.3">
      <c r="A161" s="4"/>
      <c r="B161" s="1"/>
      <c r="C161" s="1" t="str">
        <f>IF(ISBLANK(B161),"",VLOOKUP(B161,LoggerMaster!$A$2:$B$13,2,FALSE))</f>
        <v/>
      </c>
      <c r="D161" s="1"/>
      <c r="E161" s="1"/>
    </row>
    <row r="162" spans="1:5" x14ac:dyDescent="0.3">
      <c r="A162" s="4"/>
      <c r="B162" s="1"/>
      <c r="C162" s="1" t="str">
        <f>IF(ISBLANK(B162),"",VLOOKUP(B162,LoggerMaster!$A$2:$B$13,2,FALSE))</f>
        <v/>
      </c>
      <c r="D162" s="1"/>
      <c r="E162" s="1"/>
    </row>
    <row r="163" spans="1:5" x14ac:dyDescent="0.3">
      <c r="A163" s="4"/>
      <c r="B163" s="1"/>
      <c r="C163" s="1" t="str">
        <f>IF(ISBLANK(B163),"",VLOOKUP(B163,LoggerMaster!$A$2:$B$13,2,FALSE))</f>
        <v/>
      </c>
      <c r="D163" s="1"/>
      <c r="E163" s="1"/>
    </row>
    <row r="164" spans="1:5" x14ac:dyDescent="0.3">
      <c r="A164" s="4"/>
      <c r="B164" s="1"/>
      <c r="C164" s="1" t="str">
        <f>IF(ISBLANK(B164),"",VLOOKUP(B164,LoggerMaster!$A$2:$B$13,2,FALSE))</f>
        <v/>
      </c>
      <c r="D164" s="1"/>
      <c r="E164" s="1"/>
    </row>
    <row r="165" spans="1:5" x14ac:dyDescent="0.3">
      <c r="A165" s="4"/>
      <c r="B165" s="1"/>
      <c r="C165" s="1" t="str">
        <f>IF(ISBLANK(B165),"",VLOOKUP(B165,LoggerMaster!$A$2:$B$13,2,FALSE))</f>
        <v/>
      </c>
      <c r="D165" s="1"/>
      <c r="E165" s="1"/>
    </row>
    <row r="166" spans="1:5" x14ac:dyDescent="0.3">
      <c r="A166" s="4"/>
      <c r="B166" s="1"/>
      <c r="C166" s="1" t="str">
        <f>IF(ISBLANK(B166),"",VLOOKUP(B166,LoggerMaster!$A$2:$B$13,2,FALSE))</f>
        <v/>
      </c>
      <c r="D166" s="1"/>
      <c r="E166" s="1"/>
    </row>
    <row r="167" spans="1:5" x14ac:dyDescent="0.3">
      <c r="A167" s="4"/>
      <c r="B167" s="1"/>
      <c r="C167" s="1" t="str">
        <f>IF(ISBLANK(B167),"",VLOOKUP(B167,LoggerMaster!$A$2:$B$13,2,FALSE))</f>
        <v/>
      </c>
      <c r="D167" s="1"/>
      <c r="E167" s="1"/>
    </row>
    <row r="168" spans="1:5" x14ac:dyDescent="0.3">
      <c r="A168" s="4"/>
      <c r="B168" s="1"/>
      <c r="C168" s="1" t="str">
        <f>IF(ISBLANK(B168),"",VLOOKUP(B168,LoggerMaster!$A$2:$B$13,2,FALSE))</f>
        <v/>
      </c>
      <c r="D168" s="1"/>
      <c r="E168" s="1"/>
    </row>
    <row r="169" spans="1:5" x14ac:dyDescent="0.3">
      <c r="A169" s="4"/>
      <c r="B169" s="1"/>
      <c r="C169" s="1" t="str">
        <f>IF(ISBLANK(B169),"",VLOOKUP(B169,LoggerMaster!$A$2:$B$13,2,FALSE))</f>
        <v/>
      </c>
      <c r="D169" s="1"/>
      <c r="E169" s="1"/>
    </row>
    <row r="170" spans="1:5" x14ac:dyDescent="0.3">
      <c r="A170" s="4"/>
      <c r="B170" s="1"/>
      <c r="C170" s="1" t="str">
        <f>IF(ISBLANK(B170),"",VLOOKUP(B170,LoggerMaster!$A$2:$B$13,2,FALSE))</f>
        <v/>
      </c>
      <c r="D170" s="1"/>
      <c r="E170" s="1"/>
    </row>
    <row r="171" spans="1:5" x14ac:dyDescent="0.3">
      <c r="A171" s="4"/>
      <c r="B171" s="1"/>
      <c r="C171" s="1" t="str">
        <f>IF(ISBLANK(B171),"",VLOOKUP(B171,LoggerMaster!$A$2:$B$13,2,FALSE))</f>
        <v/>
      </c>
      <c r="D171" s="1"/>
      <c r="E171" s="1"/>
    </row>
    <row r="172" spans="1:5" x14ac:dyDescent="0.3">
      <c r="A172" s="4"/>
      <c r="B172" s="1"/>
      <c r="C172" s="1" t="str">
        <f>IF(ISBLANK(B172),"",VLOOKUP(B172,LoggerMaster!$A$2:$B$13,2,FALSE))</f>
        <v/>
      </c>
      <c r="D172" s="1"/>
      <c r="E172" s="1"/>
    </row>
    <row r="173" spans="1:5" x14ac:dyDescent="0.3">
      <c r="A173" s="4"/>
      <c r="B173" s="1"/>
      <c r="C173" s="1" t="str">
        <f>IF(ISBLANK(B173),"",VLOOKUP(B173,LoggerMaster!$A$2:$B$13,2,FALSE))</f>
        <v/>
      </c>
      <c r="D173" s="1"/>
      <c r="E173" s="1"/>
    </row>
    <row r="174" spans="1:5" x14ac:dyDescent="0.3">
      <c r="A174" s="4"/>
      <c r="B174" s="1"/>
      <c r="C174" s="1" t="str">
        <f>IF(ISBLANK(B174),"",VLOOKUP(B174,LoggerMaster!$A$2:$B$13,2,FALSE))</f>
        <v/>
      </c>
      <c r="D174" s="1"/>
      <c r="E174" s="1"/>
    </row>
    <row r="175" spans="1:5" x14ac:dyDescent="0.3">
      <c r="A175" s="4"/>
      <c r="B175" s="1"/>
      <c r="C175" s="1" t="str">
        <f>IF(ISBLANK(B175),"",VLOOKUP(B175,LoggerMaster!$A$2:$B$13,2,FALSE))</f>
        <v/>
      </c>
      <c r="D175" s="1"/>
      <c r="E175" s="1"/>
    </row>
    <row r="176" spans="1:5" x14ac:dyDescent="0.3">
      <c r="A176" s="4"/>
      <c r="B176" s="1"/>
      <c r="C176" s="1" t="str">
        <f>IF(ISBLANK(B176),"",VLOOKUP(B176,LoggerMaster!$A$2:$B$13,2,FALSE))</f>
        <v/>
      </c>
      <c r="D176" s="1"/>
      <c r="E176" s="1"/>
    </row>
    <row r="177" spans="1:5" x14ac:dyDescent="0.3">
      <c r="A177" s="4"/>
      <c r="B177" s="1"/>
      <c r="C177" s="1" t="str">
        <f>IF(ISBLANK(B177),"",VLOOKUP(B177,LoggerMaster!$A$2:$B$13,2,FALSE))</f>
        <v/>
      </c>
      <c r="D177" s="1"/>
      <c r="E177" s="1"/>
    </row>
    <row r="178" spans="1:5" x14ac:dyDescent="0.3">
      <c r="A178" s="4"/>
      <c r="B178" s="1"/>
      <c r="C178" s="1" t="str">
        <f>IF(ISBLANK(B178),"",VLOOKUP(B178,LoggerMaster!$A$2:$B$13,2,FALSE))</f>
        <v/>
      </c>
      <c r="D178" s="1"/>
      <c r="E178" s="1"/>
    </row>
    <row r="179" spans="1:5" x14ac:dyDescent="0.3">
      <c r="A179" s="4"/>
      <c r="B179" s="1"/>
      <c r="C179" s="1" t="str">
        <f>IF(ISBLANK(B179),"",VLOOKUP(B179,LoggerMaster!$A$2:$B$13,2,FALSE))</f>
        <v/>
      </c>
      <c r="D179" s="1"/>
      <c r="E179" s="1"/>
    </row>
    <row r="180" spans="1:5" x14ac:dyDescent="0.3">
      <c r="A180" s="4"/>
      <c r="B180" s="1"/>
      <c r="C180" s="1" t="str">
        <f>IF(ISBLANK(B180),"",VLOOKUP(B180,LoggerMaster!$A$2:$B$13,2,FALSE))</f>
        <v/>
      </c>
      <c r="D180" s="1"/>
      <c r="E180" s="1"/>
    </row>
    <row r="181" spans="1:5" x14ac:dyDescent="0.3">
      <c r="A181" s="4"/>
      <c r="B181" s="1"/>
      <c r="C181" s="1" t="str">
        <f>IF(ISBLANK(B181),"",VLOOKUP(B181,LoggerMaster!$A$2:$B$13,2,FALSE))</f>
        <v/>
      </c>
      <c r="D181" s="1"/>
      <c r="E181" s="1"/>
    </row>
    <row r="182" spans="1:5" x14ac:dyDescent="0.3">
      <c r="A182" s="4"/>
      <c r="B182" s="1"/>
      <c r="C182" s="1" t="str">
        <f>IF(ISBLANK(B182),"",VLOOKUP(B182,LoggerMaster!$A$2:$B$13,2,FALSE))</f>
        <v/>
      </c>
      <c r="D182" s="1"/>
      <c r="E182" s="1"/>
    </row>
    <row r="183" spans="1:5" x14ac:dyDescent="0.3">
      <c r="A183" s="4"/>
      <c r="B183" s="1"/>
      <c r="C183" s="1" t="str">
        <f>IF(ISBLANK(B183),"",VLOOKUP(B183,LoggerMaster!$A$2:$B$13,2,FALSE))</f>
        <v/>
      </c>
      <c r="D183" s="1"/>
      <c r="E183" s="1"/>
    </row>
    <row r="184" spans="1:5" x14ac:dyDescent="0.3">
      <c r="A184" s="4"/>
      <c r="B184" s="1"/>
      <c r="C184" s="1" t="str">
        <f>IF(ISBLANK(B184),"",VLOOKUP(B184,LoggerMaster!$A$2:$B$13,2,FALSE))</f>
        <v/>
      </c>
      <c r="D184" s="1"/>
      <c r="E184" s="1"/>
    </row>
    <row r="185" spans="1:5" x14ac:dyDescent="0.3">
      <c r="A185" s="4"/>
      <c r="B185" s="1"/>
      <c r="C185" s="1" t="str">
        <f>IF(ISBLANK(B185),"",VLOOKUP(B185,LoggerMaster!$A$2:$B$13,2,FALSE))</f>
        <v/>
      </c>
      <c r="D185" s="1"/>
      <c r="E185" s="1"/>
    </row>
    <row r="186" spans="1:5" x14ac:dyDescent="0.3">
      <c r="A186" s="4"/>
      <c r="B186" s="1"/>
      <c r="C186" s="1" t="str">
        <f>IF(ISBLANK(B186),"",VLOOKUP(B186,LoggerMaster!$A$2:$B$13,2,FALSE))</f>
        <v/>
      </c>
      <c r="D186" s="1"/>
      <c r="E186" s="1"/>
    </row>
    <row r="187" spans="1:5" x14ac:dyDescent="0.3">
      <c r="A187" s="4"/>
      <c r="B187" s="1"/>
      <c r="C187" s="1" t="str">
        <f>IF(ISBLANK(B187),"",VLOOKUP(B187,LoggerMaster!$A$2:$B$13,2,FALSE))</f>
        <v/>
      </c>
      <c r="D187" s="1"/>
      <c r="E187" s="1"/>
    </row>
    <row r="188" spans="1:5" x14ac:dyDescent="0.3">
      <c r="A188" s="4"/>
      <c r="B188" s="1"/>
      <c r="C188" s="1" t="str">
        <f>IF(ISBLANK(B188),"",VLOOKUP(B188,LoggerMaster!$A$2:$B$13,2,FALSE))</f>
        <v/>
      </c>
      <c r="D188" s="1"/>
      <c r="E188" s="1"/>
    </row>
    <row r="189" spans="1:5" x14ac:dyDescent="0.3">
      <c r="A189" s="4"/>
      <c r="B189" s="1"/>
      <c r="C189" s="1" t="str">
        <f>IF(ISBLANK(B189),"",VLOOKUP(B189,LoggerMaster!$A$2:$B$13,2,FALSE))</f>
        <v/>
      </c>
      <c r="D189" s="1"/>
      <c r="E189" s="1"/>
    </row>
    <row r="190" spans="1:5" x14ac:dyDescent="0.3">
      <c r="A190" s="4"/>
      <c r="B190" s="1"/>
      <c r="C190" s="1" t="str">
        <f>IF(ISBLANK(B190),"",VLOOKUP(B190,LoggerMaster!$A$2:$B$13,2,FALSE))</f>
        <v/>
      </c>
      <c r="D190" s="1"/>
      <c r="E190" s="1"/>
    </row>
    <row r="191" spans="1:5" x14ac:dyDescent="0.3">
      <c r="A191" s="4"/>
      <c r="B191" s="1"/>
      <c r="C191" s="1" t="str">
        <f>IF(ISBLANK(B191),"",VLOOKUP(B191,LoggerMaster!$A$2:$B$13,2,FALSE))</f>
        <v/>
      </c>
      <c r="D191" s="1"/>
      <c r="E191" s="1"/>
    </row>
    <row r="192" spans="1:5" x14ac:dyDescent="0.3">
      <c r="A192" s="4"/>
      <c r="B192" s="1"/>
      <c r="C192" s="1" t="str">
        <f>IF(ISBLANK(B192),"",VLOOKUP(B192,LoggerMaster!$A$2:$B$13,2,FALSE))</f>
        <v/>
      </c>
      <c r="D192" s="1"/>
      <c r="E192" s="1"/>
    </row>
    <row r="193" spans="1:5" x14ac:dyDescent="0.3">
      <c r="A193" s="4"/>
      <c r="B193" s="1"/>
      <c r="C193" s="1" t="str">
        <f>IF(ISBLANK(B193),"",VLOOKUP(B193,LoggerMaster!$A$2:$B$13,2,FALSE))</f>
        <v/>
      </c>
      <c r="D193" s="1"/>
      <c r="E193" s="1"/>
    </row>
    <row r="194" spans="1:5" x14ac:dyDescent="0.3">
      <c r="A194" s="4"/>
      <c r="B194" s="1"/>
      <c r="C194" s="1" t="str">
        <f>IF(ISBLANK(B194),"",VLOOKUP(B194,LoggerMaster!$A$2:$B$13,2,FALSE))</f>
        <v/>
      </c>
      <c r="D194" s="1"/>
      <c r="E194" s="1"/>
    </row>
    <row r="195" spans="1:5" x14ac:dyDescent="0.3">
      <c r="A195" s="4"/>
      <c r="B195" s="1"/>
      <c r="C195" s="1" t="str">
        <f>IF(ISBLANK(B195),"",VLOOKUP(B195,LoggerMaster!$A$2:$B$13,2,FALSE))</f>
        <v/>
      </c>
      <c r="D195" s="1"/>
      <c r="E195" s="1"/>
    </row>
    <row r="196" spans="1:5" x14ac:dyDescent="0.3">
      <c r="A196" s="4"/>
      <c r="B196" s="1"/>
      <c r="C196" s="1" t="str">
        <f>IF(ISBLANK(B196),"",VLOOKUP(B196,LoggerMaster!$A$2:$B$13,2,FALSE))</f>
        <v/>
      </c>
      <c r="D196" s="1"/>
      <c r="E196" s="1"/>
    </row>
    <row r="197" spans="1:5" x14ac:dyDescent="0.3">
      <c r="A197" s="4"/>
      <c r="B197" s="1"/>
      <c r="C197" s="1" t="str">
        <f>IF(ISBLANK(B197),"",VLOOKUP(B197,LoggerMaster!$A$2:$B$13,2,FALSE))</f>
        <v/>
      </c>
      <c r="D197" s="1"/>
      <c r="E197" s="1"/>
    </row>
    <row r="198" spans="1:5" x14ac:dyDescent="0.3">
      <c r="A198" s="4"/>
      <c r="B198" s="1"/>
      <c r="C198" s="1" t="str">
        <f>IF(ISBLANK(B198),"",VLOOKUP(B198,LoggerMaster!$A$2:$B$13,2,FALSE))</f>
        <v/>
      </c>
      <c r="D198" s="1"/>
      <c r="E198" s="1"/>
    </row>
    <row r="199" spans="1:5" x14ac:dyDescent="0.3">
      <c r="A199" s="4"/>
      <c r="B199" s="1"/>
      <c r="C199" s="1" t="str">
        <f>IF(ISBLANK(B199),"",VLOOKUP(B199,LoggerMaster!$A$2:$B$13,2,FALSE))</f>
        <v/>
      </c>
      <c r="D199" s="1"/>
      <c r="E199" s="1"/>
    </row>
    <row r="200" spans="1:5" x14ac:dyDescent="0.3">
      <c r="A200" s="4"/>
      <c r="B200" s="1"/>
      <c r="C200" s="1" t="str">
        <f>IF(ISBLANK(B200),"",VLOOKUP(B200,LoggerMaster!$A$2:$B$13,2,FALSE))</f>
        <v/>
      </c>
      <c r="D200" s="1"/>
      <c r="E200" s="1"/>
    </row>
    <row r="201" spans="1:5" x14ac:dyDescent="0.3">
      <c r="A201" s="4"/>
      <c r="B201" s="1"/>
      <c r="C201" s="1" t="str">
        <f>IF(ISBLANK(B201),"",VLOOKUP(B201,LoggerMaster!$A$2:$B$13,2,FALSE))</f>
        <v/>
      </c>
      <c r="D201" s="1"/>
      <c r="E201" s="1"/>
    </row>
    <row r="202" spans="1:5" x14ac:dyDescent="0.3">
      <c r="A202" s="4"/>
      <c r="B202" s="1"/>
      <c r="C202" s="1" t="str">
        <f>IF(ISBLANK(B202),"",VLOOKUP(B202,LoggerMaster!$A$2:$B$13,2,FALSE))</f>
        <v/>
      </c>
      <c r="D202" s="1"/>
      <c r="E202" s="1"/>
    </row>
    <row r="203" spans="1:5" x14ac:dyDescent="0.3">
      <c r="A203" s="4"/>
      <c r="B203" s="1"/>
      <c r="C203" s="1" t="str">
        <f>IF(ISBLANK(B203),"",VLOOKUP(B203,LoggerMaster!$A$2:$B$13,2,FALSE))</f>
        <v/>
      </c>
      <c r="D203" s="1"/>
      <c r="E203" s="1"/>
    </row>
    <row r="204" spans="1:5" x14ac:dyDescent="0.3">
      <c r="A204" s="4"/>
      <c r="B204" s="1"/>
      <c r="C204" s="1" t="str">
        <f>IF(ISBLANK(B204),"",VLOOKUP(B204,LoggerMaster!$A$2:$B$13,2,FALSE))</f>
        <v/>
      </c>
      <c r="D204" s="1"/>
      <c r="E204" s="1"/>
    </row>
    <row r="205" spans="1:5" x14ac:dyDescent="0.3">
      <c r="A205" s="4"/>
      <c r="B205" s="1"/>
      <c r="C205" s="1" t="str">
        <f>IF(ISBLANK(B205),"",VLOOKUP(B205,LoggerMaster!$A$2:$B$13,2,FALSE))</f>
        <v/>
      </c>
      <c r="D205" s="1"/>
      <c r="E205" s="1"/>
    </row>
    <row r="206" spans="1:5" x14ac:dyDescent="0.3">
      <c r="A206" s="4"/>
      <c r="B206" s="1"/>
      <c r="C206" s="1" t="str">
        <f>IF(ISBLANK(B206),"",VLOOKUP(B206,LoggerMaster!$A$2:$B$13,2,FALSE))</f>
        <v/>
      </c>
      <c r="D206" s="1"/>
      <c r="E206" s="1"/>
    </row>
    <row r="207" spans="1:5" x14ac:dyDescent="0.3">
      <c r="A207" s="4"/>
      <c r="B207" s="1"/>
      <c r="C207" s="1" t="str">
        <f>IF(ISBLANK(B207),"",VLOOKUP(B207,LoggerMaster!$A$2:$B$13,2,FALSE))</f>
        <v/>
      </c>
      <c r="D207" s="1"/>
      <c r="E207" s="1"/>
    </row>
    <row r="208" spans="1:5" x14ac:dyDescent="0.3">
      <c r="A208" s="4"/>
      <c r="B208" s="1"/>
      <c r="C208" s="1" t="str">
        <f>IF(ISBLANK(B208),"",VLOOKUP(B208,LoggerMaster!$A$2:$B$13,2,FALSE))</f>
        <v/>
      </c>
      <c r="D208" s="1"/>
      <c r="E208" s="1"/>
    </row>
    <row r="209" spans="1:5" x14ac:dyDescent="0.3">
      <c r="A209" s="4"/>
      <c r="B209" s="1"/>
      <c r="C209" s="1" t="str">
        <f>IF(ISBLANK(B209),"",VLOOKUP(B209,LoggerMaster!$A$2:$B$13,2,FALSE))</f>
        <v/>
      </c>
      <c r="D209" s="1"/>
      <c r="E209" s="1"/>
    </row>
    <row r="210" spans="1:5" x14ac:dyDescent="0.3">
      <c r="A210" s="4"/>
      <c r="B210" s="1"/>
      <c r="C210" s="1" t="str">
        <f>IF(ISBLANK(B210),"",VLOOKUP(B210,LoggerMaster!$A$2:$B$13,2,FALSE))</f>
        <v/>
      </c>
      <c r="D210" s="1"/>
      <c r="E210" s="1"/>
    </row>
    <row r="211" spans="1:5" x14ac:dyDescent="0.3">
      <c r="A211" s="4"/>
      <c r="B211" s="1"/>
      <c r="C211" s="1" t="str">
        <f>IF(ISBLANK(B211),"",VLOOKUP(B211,LoggerMaster!$A$2:$B$13,2,FALSE))</f>
        <v/>
      </c>
      <c r="D211" s="1"/>
      <c r="E211" s="1"/>
    </row>
    <row r="212" spans="1:5" x14ac:dyDescent="0.3">
      <c r="A212" s="4"/>
      <c r="B212" s="1"/>
      <c r="C212" s="1" t="str">
        <f>IF(ISBLANK(B212),"",VLOOKUP(B212,LoggerMaster!$A$2:$B$13,2,FALSE))</f>
        <v/>
      </c>
      <c r="D212" s="1"/>
      <c r="E212" s="1"/>
    </row>
    <row r="213" spans="1:5" x14ac:dyDescent="0.3">
      <c r="A213" s="4"/>
      <c r="B213" s="1"/>
      <c r="C213" s="1" t="str">
        <f>IF(ISBLANK(B213),"",VLOOKUP(B213,LoggerMaster!$A$2:$B$13,2,FALSE))</f>
        <v/>
      </c>
      <c r="D213" s="1"/>
      <c r="E213" s="1"/>
    </row>
    <row r="214" spans="1:5" x14ac:dyDescent="0.3">
      <c r="A214" s="4"/>
      <c r="B214" s="1"/>
      <c r="C214" s="1" t="str">
        <f>IF(ISBLANK(B214),"",VLOOKUP(B214,LoggerMaster!$A$2:$B$13,2,FALSE))</f>
        <v/>
      </c>
      <c r="D214" s="1"/>
      <c r="E214" s="1"/>
    </row>
    <row r="215" spans="1:5" x14ac:dyDescent="0.3">
      <c r="A215" s="4"/>
      <c r="B215" s="1"/>
      <c r="C215" s="1" t="str">
        <f>IF(ISBLANK(B215),"",VLOOKUP(B215,LoggerMaster!$A$2:$B$13,2,FALSE))</f>
        <v/>
      </c>
      <c r="D215" s="1"/>
      <c r="E215" s="1"/>
    </row>
    <row r="216" spans="1:5" x14ac:dyDescent="0.3">
      <c r="A216" s="4"/>
      <c r="B216" s="1"/>
      <c r="C216" s="1" t="str">
        <f>IF(ISBLANK(B216),"",VLOOKUP(B216,LoggerMaster!$A$2:$B$13,2,FALSE))</f>
        <v/>
      </c>
      <c r="D216" s="1"/>
      <c r="E216" s="1"/>
    </row>
    <row r="217" spans="1:5" x14ac:dyDescent="0.3">
      <c r="A217" s="4"/>
      <c r="B217" s="1"/>
      <c r="C217" s="1" t="str">
        <f>IF(ISBLANK(B217),"",VLOOKUP(B217,LoggerMaster!$A$2:$B$13,2,FALSE))</f>
        <v/>
      </c>
      <c r="D217" s="1"/>
      <c r="E217" s="1"/>
    </row>
    <row r="218" spans="1:5" x14ac:dyDescent="0.3">
      <c r="A218" s="4"/>
      <c r="B218" s="1"/>
      <c r="C218" s="1" t="str">
        <f>IF(ISBLANK(B218),"",VLOOKUP(B218,LoggerMaster!$A$2:$B$13,2,FALSE))</f>
        <v/>
      </c>
      <c r="D218" s="1"/>
      <c r="E218" s="1"/>
    </row>
    <row r="219" spans="1:5" x14ac:dyDescent="0.3">
      <c r="A219" s="4"/>
      <c r="B219" s="1"/>
      <c r="C219" s="1" t="str">
        <f>IF(ISBLANK(B219),"",VLOOKUP(B219,LoggerMaster!$A$2:$B$13,2,FALSE))</f>
        <v/>
      </c>
      <c r="D219" s="1"/>
      <c r="E219" s="1"/>
    </row>
    <row r="220" spans="1:5" x14ac:dyDescent="0.3">
      <c r="A220" s="4"/>
      <c r="B220" s="1"/>
      <c r="C220" s="1" t="str">
        <f>IF(ISBLANK(B220),"",VLOOKUP(B220,LoggerMaster!$A$2:$B$13,2,FALSE))</f>
        <v/>
      </c>
      <c r="D220" s="1"/>
      <c r="E220" s="1"/>
    </row>
    <row r="221" spans="1:5" x14ac:dyDescent="0.3">
      <c r="A221" s="4"/>
      <c r="B221" s="1"/>
      <c r="C221" s="1" t="str">
        <f>IF(ISBLANK(B221),"",VLOOKUP(B221,LoggerMaster!$A$2:$B$13,2,FALSE))</f>
        <v/>
      </c>
      <c r="D221" s="1"/>
      <c r="E221" s="1"/>
    </row>
    <row r="222" spans="1:5" x14ac:dyDescent="0.3">
      <c r="A222" s="4"/>
      <c r="B222" s="1"/>
      <c r="C222" s="1" t="str">
        <f>IF(ISBLANK(B222),"",VLOOKUP(B222,LoggerMaster!$A$2:$B$13,2,FALSE))</f>
        <v/>
      </c>
      <c r="D222" s="1"/>
      <c r="E222" s="1"/>
    </row>
    <row r="223" spans="1:5" x14ac:dyDescent="0.3">
      <c r="A223" s="4"/>
      <c r="B223" s="1"/>
      <c r="C223" s="1" t="str">
        <f>IF(ISBLANK(B223),"",VLOOKUP(B223,LoggerMaster!$A$2:$B$13,2,FALSE))</f>
        <v/>
      </c>
      <c r="D223" s="1"/>
      <c r="E223" s="1"/>
    </row>
    <row r="224" spans="1:5" x14ac:dyDescent="0.3">
      <c r="A224" s="4"/>
      <c r="B224" s="1"/>
      <c r="C224" s="1" t="str">
        <f>IF(ISBLANK(B224),"",VLOOKUP(B224,LoggerMaster!$A$2:$B$13,2,FALSE))</f>
        <v/>
      </c>
      <c r="D224" s="1"/>
      <c r="E224" s="1"/>
    </row>
    <row r="225" spans="1:5" x14ac:dyDescent="0.3">
      <c r="A225" s="4"/>
      <c r="B225" s="1"/>
      <c r="C225" s="1" t="str">
        <f>IF(ISBLANK(B225),"",VLOOKUP(B225,LoggerMaster!$A$2:$B$13,2,FALSE))</f>
        <v/>
      </c>
      <c r="D225" s="1"/>
      <c r="E225" s="1"/>
    </row>
    <row r="226" spans="1:5" x14ac:dyDescent="0.3">
      <c r="A226" s="4"/>
      <c r="B226" s="1"/>
      <c r="C226" s="1" t="str">
        <f>IF(ISBLANK(B226),"",VLOOKUP(B226,LoggerMaster!$A$2:$B$13,2,FALSE))</f>
        <v/>
      </c>
      <c r="D226" s="1"/>
      <c r="E226" s="1"/>
    </row>
    <row r="227" spans="1:5" x14ac:dyDescent="0.3">
      <c r="A227" s="4"/>
      <c r="B227" s="1"/>
      <c r="C227" s="1" t="str">
        <f>IF(ISBLANK(B227),"",VLOOKUP(B227,LoggerMaster!$A$2:$B$13,2,FALSE))</f>
        <v/>
      </c>
      <c r="D227" s="1"/>
      <c r="E227" s="1"/>
    </row>
    <row r="228" spans="1:5" x14ac:dyDescent="0.3">
      <c r="A228" s="4"/>
      <c r="B228" s="1"/>
      <c r="C228" s="1" t="str">
        <f>IF(ISBLANK(B228),"",VLOOKUP(B228,LoggerMaster!$A$2:$B$13,2,FALSE))</f>
        <v/>
      </c>
      <c r="D228" s="1"/>
      <c r="E228" s="1"/>
    </row>
    <row r="229" spans="1:5" x14ac:dyDescent="0.3">
      <c r="A229" s="4"/>
      <c r="B229" s="1"/>
      <c r="C229" s="1" t="str">
        <f>IF(ISBLANK(B229),"",VLOOKUP(B229,LoggerMaster!$A$2:$B$13,2,FALSE))</f>
        <v/>
      </c>
      <c r="D229" s="1"/>
      <c r="E229" s="1"/>
    </row>
    <row r="230" spans="1:5" x14ac:dyDescent="0.3">
      <c r="A230" s="4"/>
      <c r="B230" s="1"/>
      <c r="C230" s="1" t="str">
        <f>IF(ISBLANK(B230),"",VLOOKUP(B230,LoggerMaster!$A$2:$B$13,2,FALSE))</f>
        <v/>
      </c>
      <c r="D230" s="1"/>
      <c r="E230" s="1"/>
    </row>
    <row r="231" spans="1:5" x14ac:dyDescent="0.3">
      <c r="A231" s="4"/>
      <c r="B231" s="1"/>
      <c r="C231" s="1" t="str">
        <f>IF(ISBLANK(B231),"",VLOOKUP(B231,LoggerMaster!$A$2:$B$13,2,FALSE))</f>
        <v/>
      </c>
      <c r="D231" s="1"/>
      <c r="E231" s="1"/>
    </row>
    <row r="232" spans="1:5" x14ac:dyDescent="0.3">
      <c r="A232" s="4"/>
      <c r="B232" s="1"/>
      <c r="C232" s="1" t="str">
        <f>IF(ISBLANK(B232),"",VLOOKUP(B232,LoggerMaster!$A$2:$B$13,2,FALSE))</f>
        <v/>
      </c>
      <c r="D232" s="1"/>
      <c r="E232" s="1"/>
    </row>
    <row r="233" spans="1:5" x14ac:dyDescent="0.3">
      <c r="A233" s="4"/>
      <c r="B233" s="1"/>
      <c r="C233" s="1" t="str">
        <f>IF(ISBLANK(B233),"",VLOOKUP(B233,LoggerMaster!$A$2:$B$13,2,FALSE))</f>
        <v/>
      </c>
      <c r="D233" s="1"/>
      <c r="E233" s="1"/>
    </row>
    <row r="234" spans="1:5" x14ac:dyDescent="0.3">
      <c r="A234" s="4"/>
      <c r="B234" s="1"/>
      <c r="C234" s="1" t="str">
        <f>IF(ISBLANK(B234),"",VLOOKUP(B234,LoggerMaster!$A$2:$B$13,2,FALSE))</f>
        <v/>
      </c>
      <c r="D234" s="1"/>
      <c r="E234" s="1"/>
    </row>
    <row r="235" spans="1:5" x14ac:dyDescent="0.3">
      <c r="A235" s="4"/>
      <c r="B235" s="1"/>
      <c r="C235" s="1" t="str">
        <f>IF(ISBLANK(B235),"",VLOOKUP(B235,LoggerMaster!$A$2:$B$13,2,FALSE))</f>
        <v/>
      </c>
      <c r="D235" s="1"/>
      <c r="E235" s="1"/>
    </row>
    <row r="236" spans="1:5" x14ac:dyDescent="0.3">
      <c r="A236" s="4"/>
      <c r="B236" s="1"/>
      <c r="C236" s="1" t="str">
        <f>IF(ISBLANK(B236),"",VLOOKUP(B236,LoggerMaster!$A$2:$B$13,2,FALSE))</f>
        <v/>
      </c>
      <c r="D236" s="1"/>
      <c r="E236" s="1"/>
    </row>
    <row r="237" spans="1:5" x14ac:dyDescent="0.3">
      <c r="A237" s="4"/>
      <c r="B237" s="1"/>
      <c r="C237" s="1" t="str">
        <f>IF(ISBLANK(B237),"",VLOOKUP(B237,LoggerMaster!$A$2:$B$13,2,FALSE))</f>
        <v/>
      </c>
      <c r="D237" s="1"/>
      <c r="E237" s="1"/>
    </row>
    <row r="238" spans="1:5" x14ac:dyDescent="0.3">
      <c r="A238" s="4"/>
      <c r="B238" s="1"/>
      <c r="C238" s="1" t="str">
        <f>IF(ISBLANK(B238),"",VLOOKUP(B238,LoggerMaster!$A$2:$B$13,2,FALSE))</f>
        <v/>
      </c>
      <c r="D238" s="1"/>
      <c r="E238" s="1"/>
    </row>
    <row r="239" spans="1:5" x14ac:dyDescent="0.3">
      <c r="A239" s="4"/>
      <c r="B239" s="1"/>
      <c r="C239" s="1" t="str">
        <f>IF(ISBLANK(B239),"",VLOOKUP(B239,LoggerMaster!$A$2:$B$13,2,FALSE))</f>
        <v/>
      </c>
      <c r="D239" s="1"/>
      <c r="E239" s="1"/>
    </row>
    <row r="240" spans="1:5" x14ac:dyDescent="0.3">
      <c r="A240" s="4"/>
      <c r="B240" s="1"/>
      <c r="C240" s="1" t="str">
        <f>IF(ISBLANK(B240),"",VLOOKUP(B240,LoggerMaster!$A$2:$B$13,2,FALSE))</f>
        <v/>
      </c>
      <c r="D240" s="1"/>
      <c r="E240" s="1"/>
    </row>
    <row r="241" spans="1:5" x14ac:dyDescent="0.3">
      <c r="A241" s="4"/>
      <c r="B241" s="1"/>
      <c r="C241" s="1" t="str">
        <f>IF(ISBLANK(B241),"",VLOOKUP(B241,LoggerMaster!$A$2:$B$13,2,FALSE))</f>
        <v/>
      </c>
      <c r="D241" s="1"/>
      <c r="E241" s="1"/>
    </row>
    <row r="242" spans="1:5" x14ac:dyDescent="0.3">
      <c r="A242" s="4"/>
      <c r="B242" s="1"/>
      <c r="C242" s="1" t="str">
        <f>IF(ISBLANK(B242),"",VLOOKUP(B242,LoggerMaster!$A$2:$B$13,2,FALSE))</f>
        <v/>
      </c>
      <c r="D242" s="1"/>
      <c r="E242" s="1"/>
    </row>
    <row r="243" spans="1:5" x14ac:dyDescent="0.3">
      <c r="A243" s="4"/>
      <c r="B243" s="1"/>
      <c r="C243" s="1" t="str">
        <f>IF(ISBLANK(B243),"",VLOOKUP(B243,LoggerMaster!$A$2:$B$13,2,FALSE))</f>
        <v/>
      </c>
      <c r="D243" s="1"/>
      <c r="E243" s="1"/>
    </row>
    <row r="244" spans="1:5" x14ac:dyDescent="0.3">
      <c r="A244" s="4"/>
      <c r="B244" s="1"/>
      <c r="C244" s="1" t="str">
        <f>IF(ISBLANK(B244),"",VLOOKUP(B244,LoggerMaster!$A$2:$B$13,2,FALSE))</f>
        <v/>
      </c>
      <c r="D244" s="1"/>
      <c r="E244" s="1"/>
    </row>
    <row r="245" spans="1:5" x14ac:dyDescent="0.3">
      <c r="A245" s="4"/>
      <c r="B245" s="1"/>
      <c r="C245" s="1" t="str">
        <f>IF(ISBLANK(B245),"",VLOOKUP(B245,LoggerMaster!$A$2:$B$13,2,FALSE))</f>
        <v/>
      </c>
      <c r="D245" s="1"/>
      <c r="E245" s="1"/>
    </row>
    <row r="246" spans="1:5" x14ac:dyDescent="0.3">
      <c r="A246" s="4"/>
      <c r="B246" s="1"/>
      <c r="C246" s="1" t="str">
        <f>IF(ISBLANK(B246),"",VLOOKUP(B246,LoggerMaster!$A$2:$B$13,2,FALSE))</f>
        <v/>
      </c>
      <c r="D246" s="1"/>
      <c r="E246" s="1"/>
    </row>
    <row r="247" spans="1:5" x14ac:dyDescent="0.3">
      <c r="A247" s="4"/>
      <c r="B247" s="1"/>
      <c r="C247" s="1" t="str">
        <f>IF(ISBLANK(B247),"",VLOOKUP(B247,LoggerMaster!$A$2:$B$13,2,FALSE))</f>
        <v/>
      </c>
      <c r="D247" s="1"/>
      <c r="E247" s="1"/>
    </row>
    <row r="248" spans="1:5" x14ac:dyDescent="0.3">
      <c r="A248" s="4"/>
      <c r="B248" s="1"/>
      <c r="C248" s="1" t="str">
        <f>IF(ISBLANK(B248),"",VLOOKUP(B248,LoggerMaster!$A$2:$B$13,2,FALSE))</f>
        <v/>
      </c>
      <c r="D248" s="1"/>
      <c r="E248" s="1"/>
    </row>
    <row r="249" spans="1:5" x14ac:dyDescent="0.3">
      <c r="A249" s="4"/>
      <c r="B249" s="1"/>
      <c r="C249" s="1" t="str">
        <f>IF(ISBLANK(B249),"",VLOOKUP(B249,LoggerMaster!$A$2:$B$13,2,FALSE))</f>
        <v/>
      </c>
      <c r="D249" s="1"/>
      <c r="E249" s="1"/>
    </row>
    <row r="250" spans="1:5" x14ac:dyDescent="0.3">
      <c r="A250" s="4"/>
      <c r="B250" s="1"/>
      <c r="C250" s="1" t="str">
        <f>IF(ISBLANK(B250),"",VLOOKUP(B250,LoggerMaster!$A$2:$B$13,2,FALSE))</f>
        <v/>
      </c>
      <c r="D250" s="1"/>
      <c r="E250" s="1"/>
    </row>
    <row r="251" spans="1:5" x14ac:dyDescent="0.3">
      <c r="A251" s="4"/>
      <c r="B251" s="1"/>
      <c r="C251" s="1" t="str">
        <f>IF(ISBLANK(B251),"",VLOOKUP(B251,LoggerMaster!$A$2:$B$13,2,FALSE))</f>
        <v/>
      </c>
      <c r="D251" s="1"/>
      <c r="E251" s="1"/>
    </row>
    <row r="252" spans="1:5" x14ac:dyDescent="0.3">
      <c r="A252" s="4"/>
      <c r="B252" s="1"/>
      <c r="C252" s="1" t="str">
        <f>IF(ISBLANK(B252),"",VLOOKUP(B252,LoggerMaster!$A$2:$B$13,2,FALSE))</f>
        <v/>
      </c>
      <c r="D252" s="1"/>
      <c r="E252" s="1"/>
    </row>
    <row r="253" spans="1:5" x14ac:dyDescent="0.3">
      <c r="A253" s="4"/>
      <c r="B253" s="1"/>
      <c r="C253" s="1" t="str">
        <f>IF(ISBLANK(B253),"",VLOOKUP(B253,LoggerMaster!$A$2:$B$13,2,FALSE))</f>
        <v/>
      </c>
      <c r="D253" s="1"/>
      <c r="E253" s="1"/>
    </row>
    <row r="254" spans="1:5" x14ac:dyDescent="0.3">
      <c r="A254" s="4"/>
      <c r="B254" s="1"/>
      <c r="C254" s="1" t="str">
        <f>IF(ISBLANK(B254),"",VLOOKUP(B254,LoggerMaster!$A$2:$B$13,2,FALSE))</f>
        <v/>
      </c>
      <c r="D254" s="1"/>
      <c r="E254" s="1"/>
    </row>
    <row r="255" spans="1:5" x14ac:dyDescent="0.3">
      <c r="A255" s="4"/>
      <c r="B255" s="1"/>
      <c r="C255" s="1" t="str">
        <f>IF(ISBLANK(B255),"",VLOOKUP(B255,LoggerMaster!$A$2:$B$13,2,FALSE))</f>
        <v/>
      </c>
      <c r="D255" s="1"/>
      <c r="E255" s="1"/>
    </row>
    <row r="256" spans="1:5" x14ac:dyDescent="0.3">
      <c r="A256" s="4"/>
      <c r="B256" s="1"/>
      <c r="C256" s="1" t="str">
        <f>IF(ISBLANK(B256),"",VLOOKUP(B256,LoggerMaster!$A$2:$B$13,2,FALSE))</f>
        <v/>
      </c>
      <c r="D256" s="1"/>
      <c r="E256" s="1"/>
    </row>
    <row r="257" spans="1:5" x14ac:dyDescent="0.3">
      <c r="A257" s="4"/>
      <c r="B257" s="1"/>
      <c r="C257" s="1" t="str">
        <f>IF(ISBLANK(B257),"",VLOOKUP(B257,LoggerMaster!$A$2:$B$13,2,FALSE))</f>
        <v/>
      </c>
      <c r="D257" s="1"/>
      <c r="E257" s="1"/>
    </row>
    <row r="258" spans="1:5" x14ac:dyDescent="0.3">
      <c r="A258" s="4"/>
      <c r="B258" s="1"/>
      <c r="C258" s="1" t="str">
        <f>IF(ISBLANK(B258),"",VLOOKUP(B258,LoggerMaster!$A$2:$B$13,2,FALSE))</f>
        <v/>
      </c>
      <c r="D258" s="1"/>
      <c r="E258" s="1"/>
    </row>
    <row r="259" spans="1:5" x14ac:dyDescent="0.3">
      <c r="A259" s="4"/>
      <c r="B259" s="1"/>
      <c r="C259" s="1" t="str">
        <f>IF(ISBLANK(B259),"",VLOOKUP(B259,LoggerMaster!$A$2:$B$13,2,FALSE))</f>
        <v/>
      </c>
      <c r="D259" s="1"/>
      <c r="E259" s="1"/>
    </row>
    <row r="260" spans="1:5" x14ac:dyDescent="0.3">
      <c r="A260" s="4"/>
      <c r="B260" s="1"/>
      <c r="C260" s="1" t="str">
        <f>IF(ISBLANK(B260),"",VLOOKUP(B260,LoggerMaster!$A$2:$B$13,2,FALSE))</f>
        <v/>
      </c>
      <c r="D260" s="1"/>
      <c r="E260" s="1"/>
    </row>
    <row r="261" spans="1:5" x14ac:dyDescent="0.3">
      <c r="A261" s="4"/>
      <c r="B261" s="1"/>
      <c r="C261" s="1" t="str">
        <f>IF(ISBLANK(B261),"",VLOOKUP(B261,LoggerMaster!$A$2:$B$13,2,FALSE))</f>
        <v/>
      </c>
      <c r="D261" s="1"/>
      <c r="E261" s="1"/>
    </row>
    <row r="262" spans="1:5" x14ac:dyDescent="0.3">
      <c r="A262" s="4"/>
      <c r="B262" s="1"/>
      <c r="C262" s="1" t="str">
        <f>IF(ISBLANK(B262),"",VLOOKUP(B262,LoggerMaster!$A$2:$B$13,2,FALSE))</f>
        <v/>
      </c>
      <c r="D262" s="1"/>
      <c r="E262" s="1"/>
    </row>
    <row r="263" spans="1:5" x14ac:dyDescent="0.3">
      <c r="A263" s="4"/>
      <c r="B263" s="1"/>
      <c r="C263" s="1" t="str">
        <f>IF(ISBLANK(B263),"",VLOOKUP(B263,LoggerMaster!$A$2:$B$13,2,FALSE))</f>
        <v/>
      </c>
      <c r="D263" s="1"/>
      <c r="E263" s="1"/>
    </row>
    <row r="264" spans="1:5" x14ac:dyDescent="0.3">
      <c r="A264" s="4"/>
      <c r="B264" s="1"/>
      <c r="C264" s="1" t="str">
        <f>IF(ISBLANK(B264),"",VLOOKUP(B264,LoggerMaster!$A$2:$B$13,2,FALSE))</f>
        <v/>
      </c>
      <c r="D264" s="1"/>
      <c r="E264" s="1"/>
    </row>
    <row r="265" spans="1:5" x14ac:dyDescent="0.3">
      <c r="A265" s="4"/>
      <c r="B265" s="1"/>
      <c r="C265" s="1" t="str">
        <f>IF(ISBLANK(B265),"",VLOOKUP(B265,LoggerMaster!$A$2:$B$13,2,FALSE))</f>
        <v/>
      </c>
      <c r="D265" s="1"/>
      <c r="E265" s="1"/>
    </row>
    <row r="266" spans="1:5" x14ac:dyDescent="0.3">
      <c r="A266" s="4"/>
      <c r="B266" s="1"/>
      <c r="C266" s="1" t="str">
        <f>IF(ISBLANK(B266),"",VLOOKUP(B266,LoggerMaster!$A$2:$B$13,2,FALSE))</f>
        <v/>
      </c>
      <c r="D266" s="1"/>
      <c r="E266" s="1"/>
    </row>
    <row r="267" spans="1:5" x14ac:dyDescent="0.3">
      <c r="A267" s="4"/>
      <c r="B267" s="1"/>
      <c r="C267" s="1" t="str">
        <f>IF(ISBLANK(B267),"",VLOOKUP(B267,LoggerMaster!$A$2:$B$13,2,FALSE))</f>
        <v/>
      </c>
      <c r="D267" s="1"/>
      <c r="E267" s="1"/>
    </row>
    <row r="268" spans="1:5" x14ac:dyDescent="0.3">
      <c r="A268" s="4"/>
      <c r="B268" s="1"/>
      <c r="C268" s="1" t="str">
        <f>IF(ISBLANK(B268),"",VLOOKUP(B268,LoggerMaster!$A$2:$B$13,2,FALSE))</f>
        <v/>
      </c>
      <c r="D268" s="1"/>
      <c r="E268" s="1"/>
    </row>
    <row r="269" spans="1:5" x14ac:dyDescent="0.3">
      <c r="A269" s="4"/>
      <c r="B269" s="1"/>
      <c r="C269" s="1" t="str">
        <f>IF(ISBLANK(B269),"",VLOOKUP(B269,LoggerMaster!$A$2:$B$13,2,FALSE))</f>
        <v/>
      </c>
      <c r="D269" s="1"/>
      <c r="E269" s="1"/>
    </row>
    <row r="270" spans="1:5" x14ac:dyDescent="0.3">
      <c r="A270" s="4"/>
      <c r="B270" s="1"/>
      <c r="C270" s="1" t="str">
        <f>IF(ISBLANK(B270),"",VLOOKUP(B270,LoggerMaster!$A$2:$B$13,2,FALSE))</f>
        <v/>
      </c>
      <c r="D270" s="1"/>
      <c r="E270" s="1"/>
    </row>
    <row r="271" spans="1:5" x14ac:dyDescent="0.3">
      <c r="A271" s="4"/>
      <c r="B271" s="1"/>
      <c r="C271" s="1" t="str">
        <f>IF(ISBLANK(B271),"",VLOOKUP(B271,LoggerMaster!$A$2:$B$13,2,FALSE))</f>
        <v/>
      </c>
      <c r="D271" s="1"/>
      <c r="E271" s="1"/>
    </row>
    <row r="272" spans="1:5" x14ac:dyDescent="0.3">
      <c r="A272" s="4"/>
      <c r="B272" s="1"/>
      <c r="C272" s="1" t="str">
        <f>IF(ISBLANK(B272),"",VLOOKUP(B272,LoggerMaster!$A$2:$B$13,2,FALSE))</f>
        <v/>
      </c>
      <c r="D272" s="1"/>
      <c r="E272" s="1"/>
    </row>
    <row r="273" spans="1:5" x14ac:dyDescent="0.3">
      <c r="A273" s="4"/>
      <c r="B273" s="1"/>
      <c r="C273" s="1" t="str">
        <f>IF(ISBLANK(B273),"",VLOOKUP(B273,LoggerMaster!$A$2:$B$13,2,FALSE))</f>
        <v/>
      </c>
      <c r="D273" s="1"/>
      <c r="E273" s="1"/>
    </row>
    <row r="274" spans="1:5" x14ac:dyDescent="0.3">
      <c r="A274" s="4"/>
      <c r="B274" s="1"/>
      <c r="C274" s="1" t="str">
        <f>IF(ISBLANK(B274),"",VLOOKUP(B274,LoggerMaster!$A$2:$B$13,2,FALSE))</f>
        <v/>
      </c>
      <c r="D274" s="1"/>
      <c r="E274" s="1"/>
    </row>
    <row r="275" spans="1:5" x14ac:dyDescent="0.3">
      <c r="A275" s="4"/>
      <c r="B275" s="1"/>
      <c r="C275" s="1" t="str">
        <f>IF(ISBLANK(B275),"",VLOOKUP(B275,LoggerMaster!$A$2:$B$13,2,FALSE))</f>
        <v/>
      </c>
      <c r="D275" s="1"/>
      <c r="E275" s="1"/>
    </row>
    <row r="276" spans="1:5" x14ac:dyDescent="0.3">
      <c r="A276" s="4"/>
      <c r="B276" s="1"/>
      <c r="C276" s="1" t="str">
        <f>IF(ISBLANK(B276),"",VLOOKUP(B276,LoggerMaster!$A$2:$B$13,2,FALSE))</f>
        <v/>
      </c>
      <c r="D276" s="1"/>
      <c r="E276" s="1"/>
    </row>
    <row r="277" spans="1:5" x14ac:dyDescent="0.3">
      <c r="A277" s="4"/>
      <c r="B277" s="1"/>
      <c r="C277" s="1" t="str">
        <f>IF(ISBLANK(B277),"",VLOOKUP(B277,LoggerMaster!$A$2:$B$13,2,FALSE))</f>
        <v/>
      </c>
      <c r="D277" s="1"/>
      <c r="E277" s="1"/>
    </row>
    <row r="278" spans="1:5" x14ac:dyDescent="0.3">
      <c r="A278" s="4"/>
      <c r="B278" s="1"/>
      <c r="C278" s="1" t="str">
        <f>IF(ISBLANK(B278),"",VLOOKUP(B278,LoggerMaster!$A$2:$B$13,2,FALSE))</f>
        <v/>
      </c>
      <c r="D278" s="1"/>
      <c r="E278" s="1"/>
    </row>
    <row r="279" spans="1:5" x14ac:dyDescent="0.3">
      <c r="A279" s="4"/>
      <c r="B279" s="1"/>
      <c r="C279" s="1" t="str">
        <f>IF(ISBLANK(B279),"",VLOOKUP(B279,LoggerMaster!$A$2:$B$13,2,FALSE))</f>
        <v/>
      </c>
      <c r="D279" s="1"/>
      <c r="E279" s="1"/>
    </row>
    <row r="280" spans="1:5" x14ac:dyDescent="0.3">
      <c r="A280" s="4"/>
      <c r="B280" s="1"/>
      <c r="C280" s="1" t="str">
        <f>IF(ISBLANK(B280),"",VLOOKUP(B280,LoggerMaster!$A$2:$B$13,2,FALSE))</f>
        <v/>
      </c>
      <c r="D280" s="1"/>
      <c r="E280" s="1"/>
    </row>
    <row r="281" spans="1:5" x14ac:dyDescent="0.3">
      <c r="A281" s="4"/>
      <c r="B281" s="1"/>
      <c r="C281" s="1" t="str">
        <f>IF(ISBLANK(B281),"",VLOOKUP(B281,LoggerMaster!$A$2:$B$13,2,FALSE))</f>
        <v/>
      </c>
      <c r="D281" s="1"/>
      <c r="E281" s="1"/>
    </row>
    <row r="282" spans="1:5" x14ac:dyDescent="0.3">
      <c r="A282" s="4"/>
      <c r="B282" s="1"/>
      <c r="C282" s="1" t="str">
        <f>IF(ISBLANK(B282),"",VLOOKUP(B282,LoggerMaster!$A$2:$B$13,2,FALSE))</f>
        <v/>
      </c>
      <c r="D282" s="1"/>
      <c r="E282" s="1"/>
    </row>
    <row r="283" spans="1:5" x14ac:dyDescent="0.3">
      <c r="A283" s="4"/>
      <c r="B283" s="1"/>
      <c r="C283" s="1" t="str">
        <f>IF(ISBLANK(B283),"",VLOOKUP(B283,LoggerMaster!$A$2:$B$13,2,FALSE))</f>
        <v/>
      </c>
      <c r="D283" s="1"/>
      <c r="E283" s="1"/>
    </row>
    <row r="284" spans="1:5" x14ac:dyDescent="0.3">
      <c r="A284" s="4"/>
      <c r="B284" s="1"/>
      <c r="C284" s="1" t="str">
        <f>IF(ISBLANK(B284),"",VLOOKUP(B284,LoggerMaster!$A$2:$B$13,2,FALSE))</f>
        <v/>
      </c>
      <c r="D284" s="1"/>
      <c r="E284" s="1"/>
    </row>
    <row r="285" spans="1:5" x14ac:dyDescent="0.3">
      <c r="A285" s="4"/>
      <c r="B285" s="1"/>
      <c r="C285" s="1" t="str">
        <f>IF(ISBLANK(B285),"",VLOOKUP(B285,LoggerMaster!$A$2:$B$13,2,FALSE))</f>
        <v/>
      </c>
      <c r="D285" s="1"/>
      <c r="E285" s="1"/>
    </row>
    <row r="286" spans="1:5" x14ac:dyDescent="0.3">
      <c r="A286" s="4"/>
      <c r="B286" s="1"/>
      <c r="C286" s="1" t="str">
        <f>IF(ISBLANK(B286),"",VLOOKUP(B286,LoggerMaster!$A$2:$B$13,2,FALSE))</f>
        <v/>
      </c>
      <c r="D286" s="1"/>
      <c r="E286" s="1"/>
    </row>
    <row r="287" spans="1:5" x14ac:dyDescent="0.3">
      <c r="A287" s="4"/>
      <c r="B287" s="1"/>
      <c r="C287" s="1" t="str">
        <f>IF(ISBLANK(B287),"",VLOOKUP(B287,LoggerMaster!$A$2:$B$13,2,FALSE))</f>
        <v/>
      </c>
      <c r="D287" s="1"/>
      <c r="E287" s="1"/>
    </row>
    <row r="288" spans="1:5" x14ac:dyDescent="0.3">
      <c r="A288" s="4"/>
      <c r="B288" s="1"/>
      <c r="C288" s="1" t="str">
        <f>IF(ISBLANK(B288),"",VLOOKUP(B288,LoggerMaster!$A$2:$B$13,2,FALSE))</f>
        <v/>
      </c>
      <c r="D288" s="1"/>
      <c r="E288" s="1"/>
    </row>
    <row r="289" spans="1:5" x14ac:dyDescent="0.3">
      <c r="A289" s="4"/>
      <c r="B289" s="1"/>
      <c r="C289" s="1" t="str">
        <f>IF(ISBLANK(B289),"",VLOOKUP(B289,LoggerMaster!$A$2:$B$13,2,FALSE))</f>
        <v/>
      </c>
      <c r="D289" s="1"/>
      <c r="E289" s="1"/>
    </row>
    <row r="290" spans="1:5" x14ac:dyDescent="0.3">
      <c r="A290" s="4"/>
      <c r="B290" s="1"/>
      <c r="C290" s="1" t="str">
        <f>IF(ISBLANK(B290),"",VLOOKUP(B290,LoggerMaster!$A$2:$B$13,2,FALSE))</f>
        <v/>
      </c>
      <c r="D290" s="1"/>
      <c r="E290" s="1"/>
    </row>
    <row r="291" spans="1:5" x14ac:dyDescent="0.3">
      <c r="A291" s="4"/>
      <c r="B291" s="1"/>
      <c r="C291" s="1" t="str">
        <f>IF(ISBLANK(B291),"",VLOOKUP(B291,LoggerMaster!$A$2:$B$13,2,FALSE))</f>
        <v/>
      </c>
      <c r="D291" s="1"/>
      <c r="E291" s="1"/>
    </row>
    <row r="292" spans="1:5" x14ac:dyDescent="0.3">
      <c r="A292" s="4"/>
      <c r="B292" s="1"/>
      <c r="C292" s="1" t="str">
        <f>IF(ISBLANK(B292),"",VLOOKUP(B292,LoggerMaster!$A$2:$B$13,2,FALSE))</f>
        <v/>
      </c>
      <c r="D292" s="1"/>
      <c r="E292" s="1"/>
    </row>
    <row r="293" spans="1:5" x14ac:dyDescent="0.3">
      <c r="A293" s="4"/>
      <c r="B293" s="1"/>
      <c r="C293" s="1" t="str">
        <f>IF(ISBLANK(B293),"",VLOOKUP(B293,LoggerMaster!$A$2:$B$13,2,FALSE))</f>
        <v/>
      </c>
      <c r="D293" s="1">
        <v>99</v>
      </c>
      <c r="E293" s="1"/>
    </row>
    <row r="294" spans="1:5" x14ac:dyDescent="0.3">
      <c r="A294" s="4"/>
      <c r="B294" s="1"/>
      <c r="C294" s="1" t="str">
        <f>IF(ISBLANK(B294),"",VLOOKUP(B294,LoggerMaster!$A$2:$B$13,2,FALSE))</f>
        <v/>
      </c>
      <c r="D294" s="1">
        <v>99</v>
      </c>
      <c r="E294" s="1"/>
    </row>
    <row r="295" spans="1:5" x14ac:dyDescent="0.3">
      <c r="A295" s="4"/>
      <c r="B295" s="1"/>
      <c r="C295" s="1" t="str">
        <f>IF(ISBLANK(B295),"",VLOOKUP(B295,LoggerMaster!$A$2:$B$13,2,FALSE))</f>
        <v/>
      </c>
      <c r="D295" s="1">
        <v>99</v>
      </c>
      <c r="E295" s="1"/>
    </row>
    <row r="296" spans="1:5" x14ac:dyDescent="0.3">
      <c r="A296" s="4"/>
      <c r="B296" s="1"/>
      <c r="C296" s="1" t="str">
        <f>IF(ISBLANK(B296),"",VLOOKUP(B296,LoggerMaster!$A$2:$B$13,2,FALSE))</f>
        <v/>
      </c>
      <c r="D296" s="1"/>
      <c r="E296" s="1"/>
    </row>
    <row r="297" spans="1:5" x14ac:dyDescent="0.3">
      <c r="A297" s="4"/>
      <c r="B297" s="1"/>
      <c r="C297" s="1" t="str">
        <f>IF(ISBLANK(B297),"",VLOOKUP(B297,LoggerMaster!$A$2:$B$13,2,FALSE))</f>
        <v/>
      </c>
      <c r="D297" s="1"/>
      <c r="E297" s="1"/>
    </row>
    <row r="298" spans="1:5" x14ac:dyDescent="0.3">
      <c r="A298" s="4"/>
      <c r="B298" s="1"/>
      <c r="C298" s="1" t="str">
        <f>IF(ISBLANK(B298),"",VLOOKUP(B298,LoggerMaster!$A$2:$B$13,2,FALSE))</f>
        <v/>
      </c>
      <c r="D298" s="1"/>
      <c r="E298" s="1"/>
    </row>
    <row r="299" spans="1:5" x14ac:dyDescent="0.3">
      <c r="A299" s="4"/>
      <c r="B299" s="1"/>
      <c r="C299" s="1" t="str">
        <f>IF(ISBLANK(B299),"",VLOOKUP(B299,LoggerMaster!$A$2:$B$13,2,FALSE))</f>
        <v/>
      </c>
      <c r="D299" s="1"/>
      <c r="E299" s="1"/>
    </row>
    <row r="300" spans="1:5" x14ac:dyDescent="0.3">
      <c r="A300" s="4"/>
      <c r="B300" s="1"/>
      <c r="C300" s="1" t="str">
        <f>IF(ISBLANK(B300),"",VLOOKUP(B300,LoggerMaster!$A$2:$B$13,2,FALSE))</f>
        <v/>
      </c>
      <c r="D300" s="1"/>
      <c r="E300" s="1"/>
    </row>
    <row r="301" spans="1:5" x14ac:dyDescent="0.3">
      <c r="A301" s="4"/>
      <c r="B301" s="1"/>
      <c r="C301" s="1" t="str">
        <f>IF(ISBLANK(B301),"",VLOOKUP(B301,LoggerMaster!$A$2:$B$13,2,FALSE))</f>
        <v/>
      </c>
      <c r="D301" s="1"/>
      <c r="E301" s="1"/>
    </row>
    <row r="302" spans="1:5" x14ac:dyDescent="0.3">
      <c r="A302" s="4"/>
      <c r="B302" s="1"/>
      <c r="C302" s="1" t="str">
        <f>IF(ISBLANK(B302),"",VLOOKUP(B302,LoggerMaster!$A$2:$B$13,2,FALSE))</f>
        <v/>
      </c>
      <c r="D302" s="1"/>
      <c r="E302" s="1"/>
    </row>
    <row r="303" spans="1:5" x14ac:dyDescent="0.3">
      <c r="A303" s="4"/>
      <c r="B303" s="1"/>
      <c r="C303" s="1" t="str">
        <f>IF(ISBLANK(B303),"",VLOOKUP(B303,LoggerMaster!$A$2:$B$13,2,FALSE))</f>
        <v/>
      </c>
      <c r="D303" s="1"/>
      <c r="E303" s="1"/>
    </row>
    <row r="304" spans="1:5" x14ac:dyDescent="0.3">
      <c r="A304" s="4"/>
      <c r="B304" s="1"/>
      <c r="C304" s="1" t="str">
        <f>IF(ISBLANK(B304),"",VLOOKUP(B304,LoggerMaster!$A$2:$B$13,2,FALSE))</f>
        <v/>
      </c>
      <c r="D304" s="1"/>
      <c r="E304" s="1"/>
    </row>
    <row r="305" spans="1:5" x14ac:dyDescent="0.3">
      <c r="A305" s="4"/>
      <c r="B305" s="1"/>
      <c r="C305" s="1" t="str">
        <f>IF(ISBLANK(B305),"",VLOOKUP(B305,LoggerMaster!$A$2:$B$13,2,FALSE))</f>
        <v/>
      </c>
      <c r="D305" s="1"/>
      <c r="E305" s="1"/>
    </row>
    <row r="306" spans="1:5" x14ac:dyDescent="0.3">
      <c r="A306" s="4"/>
      <c r="B306" s="1"/>
      <c r="C306" s="1" t="str">
        <f>IF(ISBLANK(B306),"",VLOOKUP(B306,LoggerMaster!$A$2:$B$13,2,FALSE))</f>
        <v/>
      </c>
      <c r="D306" s="1"/>
      <c r="E306" s="1"/>
    </row>
    <row r="307" spans="1:5" x14ac:dyDescent="0.3">
      <c r="A307" s="4"/>
      <c r="B307" s="1"/>
      <c r="C307" s="1" t="str">
        <f>IF(ISBLANK(B307),"",VLOOKUP(B307,LoggerMaster!$A$2:$B$13,2,FALSE))</f>
        <v/>
      </c>
      <c r="D307" s="1"/>
      <c r="E307" s="1"/>
    </row>
    <row r="308" spans="1:5" x14ac:dyDescent="0.3">
      <c r="A308" s="4"/>
      <c r="B308" s="1"/>
      <c r="C308" s="1" t="str">
        <f>IF(ISBLANK(B308),"",VLOOKUP(B308,LoggerMaster!$A$2:$B$13,2,FALSE))</f>
        <v/>
      </c>
      <c r="D308" s="1"/>
      <c r="E308" s="1"/>
    </row>
    <row r="309" spans="1:5" x14ac:dyDescent="0.3">
      <c r="A309" s="4"/>
      <c r="B309" s="1"/>
      <c r="C309" s="1" t="str">
        <f>IF(ISBLANK(B309),"",VLOOKUP(B309,LoggerMaster!$A$2:$B$13,2,FALSE))</f>
        <v/>
      </c>
      <c r="D309" s="1"/>
      <c r="E309" s="1"/>
    </row>
    <row r="310" spans="1:5" x14ac:dyDescent="0.3">
      <c r="A310" s="4"/>
      <c r="B310" s="1"/>
      <c r="C310" s="1" t="str">
        <f>IF(ISBLANK(B310),"",VLOOKUP(B310,LoggerMaster!$A$2:$B$13,2,FALSE))</f>
        <v/>
      </c>
      <c r="D310" s="1"/>
      <c r="E310" s="1"/>
    </row>
    <row r="311" spans="1:5" x14ac:dyDescent="0.3">
      <c r="A311" s="4"/>
      <c r="B311" s="1"/>
      <c r="C311" s="1" t="str">
        <f>IF(ISBLANK(B311),"",VLOOKUP(B311,LoggerMaster!$A$2:$B$13,2,FALSE))</f>
        <v/>
      </c>
      <c r="D311" s="1"/>
      <c r="E311" s="1"/>
    </row>
    <row r="312" spans="1:5" x14ac:dyDescent="0.3">
      <c r="A312" s="4"/>
      <c r="B312" s="1"/>
      <c r="C312" s="1" t="str">
        <f>IF(ISBLANK(B312),"",VLOOKUP(B312,LoggerMaster!$A$2:$B$13,2,FALSE))</f>
        <v/>
      </c>
      <c r="D312" s="1"/>
      <c r="E312" s="1"/>
    </row>
    <row r="313" spans="1:5" x14ac:dyDescent="0.3">
      <c r="A313" s="4"/>
      <c r="B313" s="1"/>
      <c r="C313" s="1" t="str">
        <f>IF(ISBLANK(B313),"",VLOOKUP(B313,LoggerMaster!$A$2:$B$13,2,FALSE))</f>
        <v/>
      </c>
      <c r="D313" s="1"/>
      <c r="E313" s="1"/>
    </row>
    <row r="314" spans="1:5" x14ac:dyDescent="0.3">
      <c r="A314" s="4"/>
      <c r="B314" s="1"/>
      <c r="C314" s="1" t="str">
        <f>IF(ISBLANK(B314),"",VLOOKUP(B314,LoggerMaster!$A$2:$B$13,2,FALSE))</f>
        <v/>
      </c>
      <c r="D314" s="1"/>
      <c r="E314" s="1"/>
    </row>
    <row r="315" spans="1:5" x14ac:dyDescent="0.3">
      <c r="A315" s="4"/>
      <c r="B315" s="1"/>
      <c r="C315" s="1" t="str">
        <f>IF(ISBLANK(B315),"",VLOOKUP(B315,LoggerMaster!$A$2:$B$13,2,FALSE))</f>
        <v/>
      </c>
      <c r="D315" s="1"/>
      <c r="E315" s="1"/>
    </row>
    <row r="316" spans="1:5" x14ac:dyDescent="0.3">
      <c r="A316" s="4"/>
      <c r="B316" s="1"/>
      <c r="C316" s="1" t="str">
        <f>IF(ISBLANK(B316),"",VLOOKUP(B316,LoggerMaster!$A$2:$B$13,2,FALSE))</f>
        <v/>
      </c>
      <c r="D316" s="1"/>
      <c r="E316" s="1"/>
    </row>
    <row r="317" spans="1:5" x14ac:dyDescent="0.3">
      <c r="A317" s="4"/>
      <c r="B317" s="1"/>
      <c r="C317" s="1" t="str">
        <f>IF(ISBLANK(B317),"",VLOOKUP(B317,LoggerMaster!$A$2:$B$13,2,FALSE))</f>
        <v/>
      </c>
      <c r="D317" s="1"/>
      <c r="E317" s="1"/>
    </row>
    <row r="318" spans="1:5" x14ac:dyDescent="0.3">
      <c r="A318" s="4"/>
      <c r="B318" s="1"/>
      <c r="C318" s="1" t="str">
        <f>IF(ISBLANK(B318),"",VLOOKUP(B318,LoggerMaster!$A$2:$B$13,2,FALSE))</f>
        <v/>
      </c>
      <c r="D318" s="1"/>
      <c r="E318" s="1"/>
    </row>
    <row r="319" spans="1:5" x14ac:dyDescent="0.3">
      <c r="A319" s="4"/>
      <c r="B319" s="1"/>
      <c r="C319" s="1" t="str">
        <f>IF(ISBLANK(B319),"",VLOOKUP(B319,LoggerMaster!$A$2:$B$13,2,FALSE))</f>
        <v/>
      </c>
      <c r="D319" s="1"/>
      <c r="E319" s="1"/>
    </row>
    <row r="320" spans="1:5" x14ac:dyDescent="0.3">
      <c r="A320" s="4"/>
      <c r="B320" s="1"/>
      <c r="C320" s="1" t="str">
        <f>IF(ISBLANK(B320),"",VLOOKUP(B320,LoggerMaster!$A$2:$B$13,2,FALSE))</f>
        <v/>
      </c>
      <c r="D320" s="1"/>
      <c r="E320" s="1"/>
    </row>
    <row r="321" spans="1:5" x14ac:dyDescent="0.3">
      <c r="A321" s="4"/>
      <c r="B321" s="1"/>
      <c r="C321" s="1" t="str">
        <f>IF(ISBLANK(B321),"",VLOOKUP(B321,LoggerMaster!$A$2:$B$13,2,FALSE))</f>
        <v/>
      </c>
      <c r="D321" s="1"/>
      <c r="E321" s="1"/>
    </row>
    <row r="322" spans="1:5" x14ac:dyDescent="0.3">
      <c r="A322" s="4"/>
      <c r="B322" s="1"/>
      <c r="C322" s="1" t="str">
        <f>IF(ISBLANK(B322),"",VLOOKUP(B322,LoggerMaster!$A$2:$B$13,2,FALSE))</f>
        <v/>
      </c>
      <c r="D322" s="1"/>
      <c r="E322" s="1"/>
    </row>
    <row r="323" spans="1:5" x14ac:dyDescent="0.3">
      <c r="A323" s="4"/>
      <c r="B323" s="1"/>
      <c r="C323" s="1" t="str">
        <f>IF(ISBLANK(B323),"",VLOOKUP(B323,LoggerMaster!$A$2:$B$13,2,FALSE))</f>
        <v/>
      </c>
      <c r="D323" s="1"/>
      <c r="E323" s="1"/>
    </row>
    <row r="324" spans="1:5" x14ac:dyDescent="0.3">
      <c r="A324" s="4"/>
      <c r="B324" s="1"/>
      <c r="C324" s="1" t="str">
        <f>IF(ISBLANK(B324),"",VLOOKUP(B324,LoggerMaster!$A$2:$B$13,2,FALSE))</f>
        <v/>
      </c>
      <c r="D324" s="1"/>
      <c r="E324" s="1"/>
    </row>
    <row r="325" spans="1:5" x14ac:dyDescent="0.3">
      <c r="A325" s="4"/>
      <c r="B325" s="1"/>
      <c r="C325" s="1" t="str">
        <f>IF(ISBLANK(B325),"",VLOOKUP(B325,LoggerMaster!$A$2:$B$13,2,FALSE))</f>
        <v/>
      </c>
      <c r="D325" s="1"/>
      <c r="E325" s="1"/>
    </row>
    <row r="326" spans="1:5" x14ac:dyDescent="0.3">
      <c r="A326" s="4"/>
      <c r="B326" s="1"/>
      <c r="C326" s="1" t="str">
        <f>IF(ISBLANK(B326),"",VLOOKUP(B326,LoggerMaster!$A$2:$B$13,2,FALSE))</f>
        <v/>
      </c>
      <c r="D326" s="1"/>
      <c r="E326" s="1"/>
    </row>
    <row r="327" spans="1:5" x14ac:dyDescent="0.3">
      <c r="A327" s="4"/>
      <c r="B327" s="1"/>
      <c r="C327" s="1" t="str">
        <f>IF(ISBLANK(B327),"",VLOOKUP(B327,LoggerMaster!$A$2:$B$13,2,FALSE))</f>
        <v/>
      </c>
      <c r="D327" s="1"/>
      <c r="E327" s="1"/>
    </row>
    <row r="328" spans="1:5" x14ac:dyDescent="0.3">
      <c r="A328" s="4"/>
      <c r="B328" s="1"/>
      <c r="C328" s="1" t="str">
        <f>IF(ISBLANK(B328),"",VLOOKUP(B328,LoggerMaster!$A$2:$B$13,2,FALSE))</f>
        <v/>
      </c>
      <c r="D328" s="1"/>
      <c r="E328" s="1"/>
    </row>
    <row r="329" spans="1:5" x14ac:dyDescent="0.3">
      <c r="A329" s="4"/>
      <c r="B329" s="1"/>
      <c r="C329" s="1" t="str">
        <f>IF(ISBLANK(B329),"",VLOOKUP(B329,LoggerMaster!$A$2:$B$13,2,FALSE))</f>
        <v/>
      </c>
      <c r="D329" s="1"/>
      <c r="E329" s="1"/>
    </row>
    <row r="330" spans="1:5" x14ac:dyDescent="0.3">
      <c r="A330" s="4"/>
      <c r="B330" s="1"/>
      <c r="C330" s="1" t="str">
        <f>IF(ISBLANK(B330),"",VLOOKUP(B330,LoggerMaster!$A$2:$B$13,2,FALSE))</f>
        <v/>
      </c>
      <c r="D330" s="1"/>
      <c r="E330" s="1"/>
    </row>
    <row r="331" spans="1:5" x14ac:dyDescent="0.3">
      <c r="A331" s="4"/>
      <c r="B331" s="1"/>
      <c r="C331" s="1" t="str">
        <f>IF(ISBLANK(B331),"",VLOOKUP(B331,LoggerMaster!$A$2:$B$13,2,FALSE))</f>
        <v/>
      </c>
      <c r="D331" s="1"/>
      <c r="E331" s="1"/>
    </row>
    <row r="332" spans="1:5" x14ac:dyDescent="0.3">
      <c r="A332" s="4"/>
      <c r="B332" s="1"/>
      <c r="C332" s="1" t="str">
        <f>IF(ISBLANK(B332),"",VLOOKUP(B332,LoggerMaster!$A$2:$B$13,2,FALSE))</f>
        <v/>
      </c>
      <c r="D332" s="1"/>
      <c r="E332" s="1"/>
    </row>
    <row r="333" spans="1:5" x14ac:dyDescent="0.3">
      <c r="A333" s="4"/>
      <c r="B333" s="1"/>
      <c r="C333" s="1" t="str">
        <f>IF(ISBLANK(B333),"",VLOOKUP(B333,LoggerMaster!$A$2:$B$13,2,FALSE))</f>
        <v/>
      </c>
      <c r="D333" s="1"/>
      <c r="E333" s="1"/>
    </row>
    <row r="334" spans="1:5" x14ac:dyDescent="0.3">
      <c r="A334" s="4"/>
      <c r="B334" s="1"/>
      <c r="C334" s="1" t="str">
        <f>IF(ISBLANK(B334),"",VLOOKUP(B334,LoggerMaster!$A$2:$B$13,2,FALSE))</f>
        <v/>
      </c>
      <c r="D334" s="1"/>
      <c r="E334" s="1"/>
    </row>
    <row r="335" spans="1:5" x14ac:dyDescent="0.3">
      <c r="A335" s="4"/>
      <c r="B335" s="1"/>
      <c r="C335" s="1" t="str">
        <f>IF(ISBLANK(B335),"",VLOOKUP(B335,LoggerMaster!$A$2:$B$13,2,FALSE))</f>
        <v/>
      </c>
      <c r="D335" s="1"/>
      <c r="E335" s="1"/>
    </row>
    <row r="336" spans="1:5" x14ac:dyDescent="0.3">
      <c r="A336" s="4"/>
      <c r="B336" s="1"/>
      <c r="C336" s="1" t="str">
        <f>IF(ISBLANK(B336),"",VLOOKUP(B336,LoggerMaster!$A$2:$B$13,2,FALSE))</f>
        <v/>
      </c>
      <c r="D336" s="1"/>
      <c r="E336" s="1"/>
    </row>
    <row r="337" spans="1:5" x14ac:dyDescent="0.3">
      <c r="A337" s="4"/>
      <c r="B337" s="1"/>
      <c r="C337" s="1" t="str">
        <f>IF(ISBLANK(B337),"",VLOOKUP(B337,LoggerMaster!$A$2:$B$13,2,FALSE))</f>
        <v/>
      </c>
      <c r="D337" s="1"/>
      <c r="E337" s="1"/>
    </row>
    <row r="338" spans="1:5" x14ac:dyDescent="0.3">
      <c r="A338" s="4"/>
      <c r="B338" s="1"/>
      <c r="C338" s="1" t="str">
        <f>IF(ISBLANK(B338),"",VLOOKUP(B338,LoggerMaster!$A$2:$B$13,2,FALSE))</f>
        <v/>
      </c>
      <c r="D338" s="1"/>
      <c r="E338" s="1"/>
    </row>
    <row r="339" spans="1:5" x14ac:dyDescent="0.3">
      <c r="A339" s="4"/>
      <c r="B339" s="1"/>
      <c r="C339" s="1" t="str">
        <f>IF(ISBLANK(B339),"",VLOOKUP(B339,LoggerMaster!$A$2:$B$13,2,FALSE))</f>
        <v/>
      </c>
      <c r="D339" s="1"/>
      <c r="E339" s="1"/>
    </row>
    <row r="340" spans="1:5" x14ac:dyDescent="0.3">
      <c r="A340" s="4"/>
      <c r="B340" s="1"/>
      <c r="C340" s="1" t="str">
        <f>IF(ISBLANK(B340),"",VLOOKUP(B340,LoggerMaster!$A$2:$B$13,2,FALSE))</f>
        <v/>
      </c>
      <c r="D340" s="1"/>
      <c r="E340" s="1"/>
    </row>
    <row r="341" spans="1:5" x14ac:dyDescent="0.3">
      <c r="A341" s="4"/>
      <c r="B341" s="1"/>
      <c r="C341" s="1" t="str">
        <f>IF(ISBLANK(B341),"",VLOOKUP(B341,LoggerMaster!$A$2:$B$13,2,FALSE))</f>
        <v/>
      </c>
      <c r="D341" s="1"/>
      <c r="E341" s="1"/>
    </row>
    <row r="342" spans="1:5" x14ac:dyDescent="0.3">
      <c r="A342" s="4"/>
      <c r="B342" s="1"/>
      <c r="C342" s="1" t="str">
        <f>IF(ISBLANK(B342),"",VLOOKUP(B342,LoggerMaster!$A$2:$B$13,2,FALSE))</f>
        <v/>
      </c>
      <c r="D342" s="1"/>
      <c r="E342" s="1"/>
    </row>
    <row r="343" spans="1:5" x14ac:dyDescent="0.3">
      <c r="A343" s="4"/>
      <c r="B343" s="1"/>
      <c r="C343" s="1" t="str">
        <f>IF(ISBLANK(B343),"",VLOOKUP(B343,LoggerMaster!$A$2:$B$13,2,FALSE))</f>
        <v/>
      </c>
      <c r="D343" s="1"/>
      <c r="E343" s="1"/>
    </row>
    <row r="344" spans="1:5" x14ac:dyDescent="0.3">
      <c r="A344" s="4"/>
      <c r="B344" s="1"/>
      <c r="C344" s="1" t="str">
        <f>IF(ISBLANK(B344),"",VLOOKUP(B344,LoggerMaster!$A$2:$B$13,2,FALSE))</f>
        <v/>
      </c>
      <c r="D344" s="1"/>
      <c r="E344" s="1"/>
    </row>
    <row r="345" spans="1:5" x14ac:dyDescent="0.3">
      <c r="A345" s="4"/>
      <c r="B345" s="1"/>
      <c r="C345" s="1" t="str">
        <f>IF(ISBLANK(B345),"",VLOOKUP(B345,LoggerMaster!$A$2:$B$13,2,FALSE))</f>
        <v/>
      </c>
      <c r="D345" s="1"/>
      <c r="E345" s="1"/>
    </row>
    <row r="346" spans="1:5" x14ac:dyDescent="0.3">
      <c r="A346" s="4"/>
      <c r="B346" s="1"/>
      <c r="C346" s="1" t="str">
        <f>IF(ISBLANK(B346),"",VLOOKUP(B346,LoggerMaster!$A$2:$B$13,2,FALSE))</f>
        <v/>
      </c>
      <c r="D346" s="1"/>
      <c r="E346" s="1"/>
    </row>
    <row r="347" spans="1:5" x14ac:dyDescent="0.3">
      <c r="A347" s="4"/>
      <c r="B347" s="1"/>
      <c r="C347" s="1" t="str">
        <f>IF(ISBLANK(B347),"",VLOOKUP(B347,LoggerMaster!$A$2:$B$13,2,FALSE))</f>
        <v/>
      </c>
      <c r="D347" s="1"/>
      <c r="E347" s="1"/>
    </row>
    <row r="348" spans="1:5" x14ac:dyDescent="0.3">
      <c r="A348" s="4"/>
      <c r="B348" s="1"/>
      <c r="C348" s="1" t="str">
        <f>IF(ISBLANK(B348),"",VLOOKUP(B348,LoggerMaster!$A$2:$B$13,2,FALSE))</f>
        <v/>
      </c>
      <c r="D348" s="1"/>
      <c r="E348" s="1"/>
    </row>
    <row r="349" spans="1:5" x14ac:dyDescent="0.3">
      <c r="A349" s="4"/>
      <c r="B349" s="1"/>
      <c r="C349" s="1" t="str">
        <f>IF(ISBLANK(B349),"",VLOOKUP(B349,LoggerMaster!$A$2:$B$13,2,FALSE))</f>
        <v/>
      </c>
      <c r="D349" s="1"/>
      <c r="E349" s="1"/>
    </row>
    <row r="350" spans="1:5" x14ac:dyDescent="0.3">
      <c r="A350" s="4"/>
      <c r="B350" s="1"/>
      <c r="C350" s="1" t="str">
        <f>IF(ISBLANK(B350),"",VLOOKUP(B350,LoggerMaster!$A$2:$B$13,2,FALSE))</f>
        <v/>
      </c>
      <c r="D350" s="1"/>
      <c r="E350" s="1"/>
    </row>
    <row r="351" spans="1:5" x14ac:dyDescent="0.3">
      <c r="A351" s="4"/>
      <c r="B351" s="1"/>
      <c r="C351" s="1" t="str">
        <f>IF(ISBLANK(B351),"",VLOOKUP(B351,LoggerMaster!$A$2:$B$13,2,FALSE))</f>
        <v/>
      </c>
      <c r="D351" s="1"/>
      <c r="E351" s="1"/>
    </row>
    <row r="352" spans="1:5" x14ac:dyDescent="0.3">
      <c r="A352" s="4"/>
      <c r="B352" s="1"/>
      <c r="C352" s="1" t="str">
        <f>IF(ISBLANK(B352),"",VLOOKUP(B352,LoggerMaster!$A$2:$B$13,2,FALSE))</f>
        <v/>
      </c>
      <c r="D352" s="1"/>
      <c r="E352" s="1"/>
    </row>
    <row r="353" spans="1:5" x14ac:dyDescent="0.3">
      <c r="A353" s="4"/>
      <c r="B353" s="1"/>
      <c r="C353" s="1" t="str">
        <f>IF(ISBLANK(B353),"",VLOOKUP(B353,LoggerMaster!$A$2:$B$13,2,FALSE))</f>
        <v/>
      </c>
      <c r="D353" s="1"/>
      <c r="E353" s="1"/>
    </row>
    <row r="354" spans="1:5" x14ac:dyDescent="0.3">
      <c r="A354" s="4"/>
      <c r="B354" s="1"/>
      <c r="C354" s="1" t="str">
        <f>IF(ISBLANK(B354),"",VLOOKUP(B354,LoggerMaster!$A$2:$B$13,2,FALSE))</f>
        <v/>
      </c>
      <c r="D354" s="1"/>
      <c r="E354" s="1"/>
    </row>
    <row r="355" spans="1:5" x14ac:dyDescent="0.3">
      <c r="A355" s="4"/>
      <c r="B355" s="1"/>
      <c r="C355" s="1" t="str">
        <f>IF(ISBLANK(B355),"",VLOOKUP(B355,LoggerMaster!$A$2:$B$13,2,FALSE))</f>
        <v/>
      </c>
      <c r="D355" s="1"/>
      <c r="E355" s="1"/>
    </row>
    <row r="356" spans="1:5" x14ac:dyDescent="0.3">
      <c r="A356" s="4"/>
      <c r="B356" s="1"/>
      <c r="C356" s="1" t="str">
        <f>IF(ISBLANK(B356),"",VLOOKUP(B356,LoggerMaster!$A$2:$B$13,2,FALSE))</f>
        <v/>
      </c>
      <c r="D356" s="1"/>
      <c r="E356" s="1"/>
    </row>
    <row r="357" spans="1:5" x14ac:dyDescent="0.3">
      <c r="A357" s="4"/>
      <c r="B357" s="1"/>
      <c r="C357" s="1" t="str">
        <f>IF(ISBLANK(B357),"",VLOOKUP(B357,LoggerMaster!$A$2:$B$13,2,FALSE))</f>
        <v/>
      </c>
      <c r="D357" s="1"/>
      <c r="E357" s="1"/>
    </row>
    <row r="358" spans="1:5" x14ac:dyDescent="0.3">
      <c r="A358" s="4"/>
      <c r="B358" s="1"/>
      <c r="C358" s="1" t="str">
        <f>IF(ISBLANK(B358),"",VLOOKUP(B358,LoggerMaster!$A$2:$B$13,2,FALSE))</f>
        <v/>
      </c>
      <c r="D358" s="1"/>
      <c r="E358" s="1"/>
    </row>
    <row r="359" spans="1:5" x14ac:dyDescent="0.3">
      <c r="A359" s="4"/>
      <c r="B359" s="1"/>
      <c r="C359" s="1" t="str">
        <f>IF(ISBLANK(B359),"",VLOOKUP(B359,LoggerMaster!$A$2:$B$13,2,FALSE))</f>
        <v/>
      </c>
      <c r="D359" s="1"/>
      <c r="E359" s="1"/>
    </row>
    <row r="360" spans="1:5" x14ac:dyDescent="0.3">
      <c r="A360" s="4"/>
      <c r="B360" s="1"/>
      <c r="C360" s="1" t="str">
        <f>IF(ISBLANK(B360),"",VLOOKUP(B360,LoggerMaster!$A$2:$B$13,2,FALSE))</f>
        <v/>
      </c>
      <c r="D360" s="1"/>
      <c r="E360" s="1"/>
    </row>
    <row r="361" spans="1:5" x14ac:dyDescent="0.3">
      <c r="A361" s="4"/>
      <c r="B361" s="1"/>
      <c r="C361" s="1" t="str">
        <f>IF(ISBLANK(B361),"",VLOOKUP(B361,LoggerMaster!$A$2:$B$13,2,FALSE))</f>
        <v/>
      </c>
      <c r="D361" s="1"/>
      <c r="E361" s="1"/>
    </row>
    <row r="362" spans="1:5" x14ac:dyDescent="0.3">
      <c r="A362" s="4"/>
      <c r="B362" s="1"/>
      <c r="C362" s="1" t="str">
        <f>IF(ISBLANK(B362),"",VLOOKUP(B362,LoggerMaster!$A$2:$B$13,2,FALSE))</f>
        <v/>
      </c>
      <c r="D362" s="1"/>
      <c r="E362" s="1"/>
    </row>
    <row r="363" spans="1:5" x14ac:dyDescent="0.3">
      <c r="A363" s="4"/>
      <c r="B363" s="1"/>
      <c r="C363" s="1" t="str">
        <f>IF(ISBLANK(B363),"",VLOOKUP(B363,LoggerMaster!$A$2:$B$13,2,FALSE))</f>
        <v/>
      </c>
      <c r="D363" s="1"/>
      <c r="E363" s="1"/>
    </row>
    <row r="364" spans="1:5" x14ac:dyDescent="0.3">
      <c r="A364" s="4"/>
      <c r="B364" s="1"/>
      <c r="C364" s="1" t="str">
        <f>IF(ISBLANK(B364),"",VLOOKUP(B364,LoggerMaster!$A$2:$B$13,2,FALSE))</f>
        <v/>
      </c>
      <c r="D364" s="1"/>
      <c r="E364" s="1"/>
    </row>
    <row r="365" spans="1:5" x14ac:dyDescent="0.3">
      <c r="A365" s="4"/>
      <c r="B365" s="1"/>
      <c r="C365" s="1" t="str">
        <f>IF(ISBLANK(B365),"",VLOOKUP(B365,LoggerMaster!$A$2:$B$13,2,FALSE))</f>
        <v/>
      </c>
      <c r="D365" s="1"/>
      <c r="E365" s="1"/>
    </row>
    <row r="366" spans="1:5" x14ac:dyDescent="0.3">
      <c r="A366" s="4"/>
      <c r="B366" s="1"/>
      <c r="C366" s="1" t="str">
        <f>IF(ISBLANK(B366),"",VLOOKUP(B366,LoggerMaster!$A$2:$B$13,2,FALSE))</f>
        <v/>
      </c>
      <c r="D366" s="1"/>
      <c r="E366" s="1"/>
    </row>
    <row r="367" spans="1:5" x14ac:dyDescent="0.3">
      <c r="A367" s="4"/>
      <c r="B367" s="1"/>
      <c r="C367" s="1" t="str">
        <f>IF(ISBLANK(B367),"",VLOOKUP(B367,LoggerMaster!$A$2:$B$13,2,FALSE))</f>
        <v/>
      </c>
      <c r="D367" s="1"/>
      <c r="E367" s="1"/>
    </row>
    <row r="368" spans="1:5" x14ac:dyDescent="0.3">
      <c r="A368" s="4"/>
      <c r="B368" s="1"/>
      <c r="C368" s="1" t="str">
        <f>IF(ISBLANK(B368),"",VLOOKUP(B368,LoggerMaster!$A$2:$B$13,2,FALSE))</f>
        <v/>
      </c>
      <c r="D368" s="1"/>
      <c r="E368" s="1"/>
    </row>
    <row r="369" spans="1:5" x14ac:dyDescent="0.3">
      <c r="A369" s="4"/>
      <c r="B369" s="1"/>
      <c r="C369" s="1" t="str">
        <f>IF(ISBLANK(B369),"",VLOOKUP(B369,LoggerMaster!$A$2:$B$13,2,FALSE))</f>
        <v/>
      </c>
      <c r="D369" s="1"/>
      <c r="E369" s="1"/>
    </row>
    <row r="370" spans="1:5" x14ac:dyDescent="0.3">
      <c r="A370" s="4"/>
      <c r="B370" s="1"/>
      <c r="C370" s="1" t="str">
        <f>IF(ISBLANK(B370),"",VLOOKUP(B370,LoggerMaster!$A$2:$B$13,2,FALSE))</f>
        <v/>
      </c>
      <c r="D370" s="1"/>
      <c r="E370" s="1"/>
    </row>
    <row r="371" spans="1:5" x14ac:dyDescent="0.3">
      <c r="A371" s="4"/>
      <c r="B371" s="1"/>
      <c r="C371" s="1" t="str">
        <f>IF(ISBLANK(B371),"",VLOOKUP(B371,LoggerMaster!$A$2:$B$13,2,FALSE))</f>
        <v/>
      </c>
      <c r="D371" s="1"/>
      <c r="E371" s="1"/>
    </row>
    <row r="372" spans="1:5" x14ac:dyDescent="0.3">
      <c r="A372" s="4"/>
      <c r="B372" s="1"/>
      <c r="C372" s="1" t="str">
        <f>IF(ISBLANK(B372),"",VLOOKUP(B372,LoggerMaster!$A$2:$B$13,2,FALSE))</f>
        <v/>
      </c>
      <c r="D372" s="1"/>
      <c r="E372" s="1"/>
    </row>
    <row r="373" spans="1:5" x14ac:dyDescent="0.3">
      <c r="A373" s="4"/>
      <c r="B373" s="1"/>
      <c r="C373" s="1" t="str">
        <f>IF(ISBLANK(B373),"",VLOOKUP(B373,LoggerMaster!$A$2:$B$13,2,FALSE))</f>
        <v/>
      </c>
      <c r="D373" s="1"/>
      <c r="E373" s="1"/>
    </row>
    <row r="374" spans="1:5" x14ac:dyDescent="0.3">
      <c r="A374" s="4"/>
      <c r="B374" s="1"/>
      <c r="C374" s="1" t="str">
        <f>IF(ISBLANK(B374),"",VLOOKUP(B374,LoggerMaster!$A$2:$B$13,2,FALSE))</f>
        <v/>
      </c>
      <c r="D374" s="1"/>
      <c r="E374" s="1"/>
    </row>
    <row r="375" spans="1:5" x14ac:dyDescent="0.3">
      <c r="A375" s="4"/>
      <c r="B375" s="1"/>
      <c r="C375" s="1" t="str">
        <f>IF(ISBLANK(B375),"",VLOOKUP(B375,LoggerMaster!$A$2:$B$13,2,FALSE))</f>
        <v/>
      </c>
      <c r="D375" s="1"/>
      <c r="E375" s="1"/>
    </row>
    <row r="376" spans="1:5" x14ac:dyDescent="0.3">
      <c r="A376" s="4"/>
      <c r="B376" s="1"/>
      <c r="C376" s="1" t="str">
        <f>IF(ISBLANK(B376),"",VLOOKUP(B376,LoggerMaster!$A$2:$B$13,2,FALSE))</f>
        <v/>
      </c>
      <c r="D376" s="1"/>
      <c r="E376" s="1"/>
    </row>
    <row r="377" spans="1:5" x14ac:dyDescent="0.3">
      <c r="A377" s="4"/>
      <c r="B377" s="1"/>
      <c r="C377" s="1" t="str">
        <f>IF(ISBLANK(B377),"",VLOOKUP(B377,LoggerMaster!$A$2:$B$13,2,FALSE))</f>
        <v/>
      </c>
      <c r="D377" s="1"/>
      <c r="E377" s="1"/>
    </row>
    <row r="378" spans="1:5" x14ac:dyDescent="0.3">
      <c r="A378" s="4"/>
      <c r="B378" s="1"/>
      <c r="C378" s="1" t="str">
        <f>IF(ISBLANK(B378),"",VLOOKUP(B378,LoggerMaster!$A$2:$B$13,2,FALSE))</f>
        <v/>
      </c>
      <c r="D378" s="1"/>
      <c r="E378" s="1"/>
    </row>
    <row r="379" spans="1:5" x14ac:dyDescent="0.3">
      <c r="A379" s="4"/>
      <c r="B379" s="1"/>
      <c r="C379" s="1" t="str">
        <f>IF(ISBLANK(B379),"",VLOOKUP(B379,LoggerMaster!$A$2:$B$13,2,FALSE))</f>
        <v/>
      </c>
      <c r="D379" s="1"/>
      <c r="E379" s="1"/>
    </row>
    <row r="380" spans="1:5" x14ac:dyDescent="0.3">
      <c r="A380" s="4"/>
      <c r="B380" s="1"/>
      <c r="C380" s="1" t="str">
        <f>IF(ISBLANK(B380),"",VLOOKUP(B380,LoggerMaster!$A$2:$B$13,2,FALSE))</f>
        <v/>
      </c>
      <c r="D380" s="1"/>
      <c r="E380" s="1"/>
    </row>
    <row r="381" spans="1:5" x14ac:dyDescent="0.3">
      <c r="A381" s="4"/>
      <c r="B381" s="1"/>
      <c r="C381" s="1" t="str">
        <f>IF(ISBLANK(B381),"",VLOOKUP(B381,LoggerMaster!$A$2:$B$13,2,FALSE))</f>
        <v/>
      </c>
      <c r="D381" s="1"/>
      <c r="E381" s="1"/>
    </row>
    <row r="382" spans="1:5" x14ac:dyDescent="0.3">
      <c r="A382" s="4"/>
      <c r="B382" s="1"/>
      <c r="C382" s="1" t="str">
        <f>IF(ISBLANK(B382),"",VLOOKUP(B382,LoggerMaster!$A$2:$B$13,2,FALSE))</f>
        <v/>
      </c>
      <c r="D382" s="1"/>
      <c r="E382" s="1"/>
    </row>
    <row r="383" spans="1:5" x14ac:dyDescent="0.3">
      <c r="A383" s="4"/>
      <c r="B383" s="1"/>
      <c r="C383" s="1" t="str">
        <f>IF(ISBLANK(B383),"",VLOOKUP(B383,LoggerMaster!$A$2:$B$13,2,FALSE))</f>
        <v/>
      </c>
      <c r="D383" s="1"/>
      <c r="E383" s="1"/>
    </row>
    <row r="384" spans="1:5" x14ac:dyDescent="0.3">
      <c r="A384" s="4"/>
      <c r="B384" s="1"/>
      <c r="C384" s="1" t="str">
        <f>IF(ISBLANK(B384),"",VLOOKUP(B384,LoggerMaster!$A$2:$B$13,2,FALSE))</f>
        <v/>
      </c>
      <c r="D384" s="1"/>
      <c r="E384" s="1"/>
    </row>
    <row r="385" spans="1:5" x14ac:dyDescent="0.3">
      <c r="A385" s="4"/>
      <c r="B385" s="1"/>
      <c r="C385" s="1" t="str">
        <f>IF(ISBLANK(B385),"",VLOOKUP(B385,LoggerMaster!$A$2:$B$13,2,FALSE))</f>
        <v/>
      </c>
      <c r="D385" s="1"/>
      <c r="E385" s="1"/>
    </row>
    <row r="386" spans="1:5" x14ac:dyDescent="0.3">
      <c r="A386" s="4"/>
      <c r="B386" s="1"/>
      <c r="C386" s="1" t="str">
        <f>IF(ISBLANK(B386),"",VLOOKUP(B386,LoggerMaster!$A$2:$B$13,2,FALSE))</f>
        <v/>
      </c>
      <c r="D386" s="1"/>
      <c r="E386" s="1"/>
    </row>
    <row r="387" spans="1:5" x14ac:dyDescent="0.3">
      <c r="A387" s="4"/>
      <c r="B387" s="1"/>
      <c r="C387" s="1" t="str">
        <f>IF(ISBLANK(B387),"",VLOOKUP(B387,LoggerMaster!$A$2:$B$13,2,FALSE))</f>
        <v/>
      </c>
      <c r="D387" s="1"/>
      <c r="E387" s="1"/>
    </row>
    <row r="388" spans="1:5" x14ac:dyDescent="0.3">
      <c r="A388" s="4"/>
      <c r="B388" s="1"/>
      <c r="C388" s="1" t="str">
        <f>IF(ISBLANK(B388),"",VLOOKUP(B388,LoggerMaster!$A$2:$B$13,2,FALSE))</f>
        <v/>
      </c>
      <c r="D388" s="1"/>
      <c r="E388" s="1"/>
    </row>
    <row r="389" spans="1:5" x14ac:dyDescent="0.3">
      <c r="A389" s="4"/>
      <c r="B389" s="1"/>
      <c r="C389" s="1" t="str">
        <f>IF(ISBLANK(B389),"",VLOOKUP(B389,LoggerMaster!$A$2:$B$13,2,FALSE))</f>
        <v/>
      </c>
      <c r="D389" s="1"/>
      <c r="E389" s="1"/>
    </row>
    <row r="390" spans="1:5" x14ac:dyDescent="0.3">
      <c r="A390" s="4"/>
      <c r="B390" s="1"/>
      <c r="C390" s="1" t="str">
        <f>IF(ISBLANK(B390),"",VLOOKUP(B390,LoggerMaster!$A$2:$B$13,2,FALSE))</f>
        <v/>
      </c>
      <c r="D390" s="1"/>
      <c r="E390" s="1"/>
    </row>
    <row r="391" spans="1:5" x14ac:dyDescent="0.3">
      <c r="A391" s="4"/>
      <c r="B391" s="1"/>
      <c r="C391" s="1" t="str">
        <f>IF(ISBLANK(B391),"",VLOOKUP(B391,LoggerMaster!$A$2:$B$13,2,FALSE))</f>
        <v/>
      </c>
      <c r="D391" s="1"/>
      <c r="E391" s="1"/>
    </row>
    <row r="392" spans="1:5" x14ac:dyDescent="0.3">
      <c r="A392" s="4"/>
      <c r="B392" s="1"/>
      <c r="C392" s="1" t="str">
        <f>IF(ISBLANK(B392),"",VLOOKUP(B392,LoggerMaster!$A$2:$B$13,2,FALSE))</f>
        <v/>
      </c>
      <c r="D392" s="1"/>
      <c r="E392" s="1"/>
    </row>
    <row r="393" spans="1:5" x14ac:dyDescent="0.3">
      <c r="A393" s="4"/>
      <c r="B393" s="1"/>
      <c r="C393" s="1" t="str">
        <f>IF(ISBLANK(B393),"",VLOOKUP(B393,LoggerMaster!$A$2:$B$13,2,FALSE))</f>
        <v/>
      </c>
      <c r="D393" s="1"/>
      <c r="E393" s="1"/>
    </row>
    <row r="394" spans="1:5" x14ac:dyDescent="0.3">
      <c r="A394" s="4"/>
      <c r="B394" s="1"/>
      <c r="C394" s="1" t="str">
        <f>IF(ISBLANK(B394),"",VLOOKUP(B394,LoggerMaster!$A$2:$B$13,2,FALSE))</f>
        <v/>
      </c>
      <c r="D394" s="1"/>
      <c r="E394" s="1"/>
    </row>
    <row r="395" spans="1:5" x14ac:dyDescent="0.3">
      <c r="A395" s="4"/>
      <c r="B395" s="1"/>
      <c r="C395" s="1" t="str">
        <f>IF(ISBLANK(B395),"",VLOOKUP(B395,LoggerMaster!$A$2:$B$13,2,FALSE))</f>
        <v/>
      </c>
      <c r="D395" s="1"/>
      <c r="E395" s="1"/>
    </row>
    <row r="396" spans="1:5" x14ac:dyDescent="0.3">
      <c r="A396" s="4"/>
      <c r="B396" s="1"/>
      <c r="C396" s="1" t="str">
        <f>IF(ISBLANK(B396),"",VLOOKUP(B396,LoggerMaster!$A$2:$B$13,2,FALSE))</f>
        <v/>
      </c>
      <c r="D396" s="1"/>
      <c r="E396" s="1"/>
    </row>
    <row r="397" spans="1:5" x14ac:dyDescent="0.3">
      <c r="A397" s="4"/>
      <c r="B397" s="1"/>
      <c r="C397" s="1" t="str">
        <f>IF(ISBLANK(B397),"",VLOOKUP(B397,LoggerMaster!$A$2:$B$13,2,FALSE))</f>
        <v/>
      </c>
      <c r="D397" s="1"/>
      <c r="E397" s="1"/>
    </row>
    <row r="398" spans="1:5" x14ac:dyDescent="0.3">
      <c r="A398" s="4"/>
      <c r="B398" s="1"/>
      <c r="C398" s="1" t="str">
        <f>IF(ISBLANK(B398),"",VLOOKUP(B398,LoggerMaster!$A$2:$B$13,2,FALSE))</f>
        <v/>
      </c>
      <c r="D398" s="1"/>
      <c r="E398" s="1"/>
    </row>
    <row r="399" spans="1:5" x14ac:dyDescent="0.3">
      <c r="A399" s="4"/>
      <c r="B399" s="1"/>
      <c r="C399" s="1" t="str">
        <f>IF(ISBLANK(B399),"",VLOOKUP(B399,LoggerMaster!$A$2:$B$13,2,FALSE))</f>
        <v/>
      </c>
      <c r="D399" s="1"/>
      <c r="E399" s="1"/>
    </row>
    <row r="400" spans="1:5" x14ac:dyDescent="0.3">
      <c r="A400" s="4"/>
      <c r="B400" s="1"/>
      <c r="C400" s="1" t="str">
        <f>IF(ISBLANK(B400),"",VLOOKUP(B400,LoggerMaster!$A$2:$B$13,2,FALSE))</f>
        <v/>
      </c>
      <c r="D400" s="1"/>
      <c r="E400" s="1"/>
    </row>
    <row r="401" spans="1:5" x14ac:dyDescent="0.3">
      <c r="A401" s="4"/>
      <c r="B401" s="1"/>
      <c r="C401" s="1" t="str">
        <f>IF(ISBLANK(B401),"",VLOOKUP(B401,LoggerMaster!$A$2:$B$13,2,FALSE))</f>
        <v/>
      </c>
      <c r="D401" s="1"/>
      <c r="E401" s="1"/>
    </row>
    <row r="402" spans="1:5" x14ac:dyDescent="0.3">
      <c r="A402" s="4"/>
      <c r="B402" s="1"/>
      <c r="C402" s="1" t="str">
        <f>IF(ISBLANK(B402),"",VLOOKUP(B402,LoggerMaster!$A$2:$B$13,2,FALSE))</f>
        <v/>
      </c>
      <c r="D402" s="1"/>
      <c r="E402" s="1"/>
    </row>
    <row r="403" spans="1:5" x14ac:dyDescent="0.3">
      <c r="A403" s="4"/>
      <c r="B403" s="1"/>
      <c r="C403" s="1" t="str">
        <f>IF(ISBLANK(B403),"",VLOOKUP(B403,LoggerMaster!$A$2:$B$13,2,FALSE))</f>
        <v/>
      </c>
      <c r="D403" s="1"/>
      <c r="E403" s="1"/>
    </row>
    <row r="404" spans="1:5" x14ac:dyDescent="0.3">
      <c r="A404" s="4"/>
      <c r="B404" s="1"/>
      <c r="C404" s="1" t="str">
        <f>IF(ISBLANK(B404),"",VLOOKUP(B404,LoggerMaster!$A$2:$B$13,2,FALSE))</f>
        <v/>
      </c>
      <c r="D404" s="1"/>
      <c r="E404" s="1"/>
    </row>
    <row r="405" spans="1:5" x14ac:dyDescent="0.3">
      <c r="A405" s="4"/>
      <c r="B405" s="1"/>
      <c r="C405" s="1" t="str">
        <f>IF(ISBLANK(B405),"",VLOOKUP(B405,LoggerMaster!$A$2:$B$13,2,FALSE))</f>
        <v/>
      </c>
      <c r="D405" s="1"/>
      <c r="E405" s="1"/>
    </row>
    <row r="406" spans="1:5" x14ac:dyDescent="0.3">
      <c r="A406" s="4"/>
      <c r="B406" s="1"/>
      <c r="C406" s="1" t="str">
        <f>IF(ISBLANK(B406),"",VLOOKUP(B406,LoggerMaster!$A$2:$B$13,2,FALSE))</f>
        <v/>
      </c>
      <c r="D406" s="1"/>
      <c r="E406" s="1"/>
    </row>
    <row r="407" spans="1:5" x14ac:dyDescent="0.3">
      <c r="A407" s="4"/>
      <c r="B407" s="1"/>
      <c r="C407" s="1" t="str">
        <f>IF(ISBLANK(B407),"",VLOOKUP(B407,LoggerMaster!$A$2:$B$13,2,FALSE))</f>
        <v/>
      </c>
      <c r="D407" s="1"/>
      <c r="E407" s="1"/>
    </row>
    <row r="408" spans="1:5" x14ac:dyDescent="0.3">
      <c r="A408" s="4"/>
      <c r="B408" s="1"/>
      <c r="C408" s="1" t="str">
        <f>IF(ISBLANK(B408),"",VLOOKUP(B408,LoggerMaster!$A$2:$B$13,2,FALSE))</f>
        <v/>
      </c>
      <c r="D408" s="1"/>
      <c r="E408" s="1"/>
    </row>
    <row r="409" spans="1:5" x14ac:dyDescent="0.3">
      <c r="A409" s="4"/>
      <c r="B409" s="1"/>
      <c r="C409" s="1" t="str">
        <f>IF(ISBLANK(B409),"",VLOOKUP(B409,LoggerMaster!$A$2:$B$13,2,FALSE))</f>
        <v/>
      </c>
      <c r="D409" s="1"/>
      <c r="E409" s="1"/>
    </row>
    <row r="410" spans="1:5" x14ac:dyDescent="0.3">
      <c r="A410" s="4"/>
      <c r="B410" s="1"/>
      <c r="C410" s="1" t="str">
        <f>IF(ISBLANK(B410),"",VLOOKUP(B410,LoggerMaster!$A$2:$B$13,2,FALSE))</f>
        <v/>
      </c>
      <c r="D410" s="1"/>
      <c r="E410" s="1"/>
    </row>
    <row r="411" spans="1:5" x14ac:dyDescent="0.3">
      <c r="A411" s="4"/>
      <c r="B411" s="1"/>
      <c r="C411" s="1" t="str">
        <f>IF(ISBLANK(B411),"",VLOOKUP(B411,LoggerMaster!$A$2:$B$13,2,FALSE))</f>
        <v/>
      </c>
      <c r="D411" s="1"/>
      <c r="E411" s="1"/>
    </row>
    <row r="412" spans="1:5" x14ac:dyDescent="0.3">
      <c r="A412" s="4"/>
      <c r="B412" s="1"/>
      <c r="C412" s="1" t="str">
        <f>IF(ISBLANK(B412),"",VLOOKUP(B412,LoggerMaster!$A$2:$B$13,2,FALSE))</f>
        <v/>
      </c>
      <c r="D412" s="1"/>
      <c r="E412" s="1"/>
    </row>
    <row r="413" spans="1:5" x14ac:dyDescent="0.3">
      <c r="A413" s="4"/>
      <c r="B413" s="1"/>
      <c r="C413" s="1" t="str">
        <f>IF(ISBLANK(B413),"",VLOOKUP(B413,LoggerMaster!$A$2:$B$13,2,FALSE))</f>
        <v/>
      </c>
      <c r="D413" s="1"/>
      <c r="E413" s="1"/>
    </row>
    <row r="414" spans="1:5" x14ac:dyDescent="0.3">
      <c r="A414" s="4"/>
      <c r="B414" s="1"/>
      <c r="C414" s="1" t="str">
        <f>IF(ISBLANK(B414),"",VLOOKUP(B414,LoggerMaster!$A$2:$B$13,2,FALSE))</f>
        <v/>
      </c>
      <c r="D414" s="1"/>
      <c r="E414" s="1"/>
    </row>
    <row r="415" spans="1:5" x14ac:dyDescent="0.3">
      <c r="A415" s="4"/>
      <c r="B415" s="1"/>
      <c r="C415" s="1" t="str">
        <f>IF(ISBLANK(B415),"",VLOOKUP(B415,LoggerMaster!$A$2:$B$13,2,FALSE))</f>
        <v/>
      </c>
      <c r="D415" s="1"/>
      <c r="E415" s="1"/>
    </row>
    <row r="416" spans="1:5" x14ac:dyDescent="0.3">
      <c r="A416" s="4"/>
      <c r="B416" s="1"/>
      <c r="C416" s="1" t="str">
        <f>IF(ISBLANK(B416),"",VLOOKUP(B416,LoggerMaster!$A$2:$B$13,2,FALSE))</f>
        <v/>
      </c>
      <c r="D416" s="1"/>
      <c r="E416" s="1"/>
    </row>
    <row r="417" spans="1:5" x14ac:dyDescent="0.3">
      <c r="A417" s="4"/>
      <c r="B417" s="1"/>
      <c r="C417" s="1" t="str">
        <f>IF(ISBLANK(B417),"",VLOOKUP(B417,LoggerMaster!$A$2:$B$13,2,FALSE))</f>
        <v/>
      </c>
      <c r="D417" s="1"/>
      <c r="E417" s="1"/>
    </row>
    <row r="418" spans="1:5" x14ac:dyDescent="0.3">
      <c r="A418" s="4"/>
      <c r="B418" s="1"/>
      <c r="C418" s="1" t="str">
        <f>IF(ISBLANK(B418),"",VLOOKUP(B418,LoggerMaster!$A$2:$B$13,2,FALSE))</f>
        <v/>
      </c>
      <c r="D418" s="1"/>
      <c r="E418" s="1"/>
    </row>
    <row r="419" spans="1:5" x14ac:dyDescent="0.3">
      <c r="A419" s="4"/>
      <c r="B419" s="1"/>
      <c r="C419" s="1" t="str">
        <f>IF(ISBLANK(B419),"",VLOOKUP(B419,LoggerMaster!$A$2:$B$13,2,FALSE))</f>
        <v/>
      </c>
      <c r="D419" s="1"/>
      <c r="E419" s="1"/>
    </row>
    <row r="420" spans="1:5" x14ac:dyDescent="0.3">
      <c r="A420" s="4"/>
      <c r="B420" s="1"/>
      <c r="C420" s="1" t="str">
        <f>IF(ISBLANK(B420),"",VLOOKUP(B420,LoggerMaster!$A$2:$B$13,2,FALSE))</f>
        <v/>
      </c>
      <c r="D420" s="1"/>
      <c r="E420" s="1"/>
    </row>
    <row r="421" spans="1:5" x14ac:dyDescent="0.3">
      <c r="A421" s="4"/>
      <c r="B421" s="1"/>
      <c r="C421" s="1" t="str">
        <f>IF(ISBLANK(B421),"",VLOOKUP(B421,LoggerMaster!$A$2:$B$13,2,FALSE))</f>
        <v/>
      </c>
      <c r="D421" s="1"/>
      <c r="E421" s="1"/>
    </row>
    <row r="422" spans="1:5" x14ac:dyDescent="0.3">
      <c r="A422" s="4"/>
      <c r="B422" s="1"/>
      <c r="C422" s="1" t="str">
        <f>IF(ISBLANK(B422),"",VLOOKUP(B422,LoggerMaster!$A$2:$B$13,2,FALSE))</f>
        <v/>
      </c>
      <c r="D422" s="1"/>
      <c r="E422" s="1"/>
    </row>
    <row r="423" spans="1:5" x14ac:dyDescent="0.3">
      <c r="A423" s="4"/>
      <c r="B423" s="1"/>
      <c r="C423" s="1" t="str">
        <f>IF(ISBLANK(B423),"",VLOOKUP(B423,LoggerMaster!$A$2:$B$13,2,FALSE))</f>
        <v/>
      </c>
      <c r="D423" s="1"/>
      <c r="E423" s="1"/>
    </row>
    <row r="424" spans="1:5" x14ac:dyDescent="0.3">
      <c r="A424" s="4"/>
      <c r="B424" s="1"/>
      <c r="C424" s="1" t="str">
        <f>IF(ISBLANK(B424),"",VLOOKUP(B424,LoggerMaster!$A$2:$B$13,2,FALSE))</f>
        <v/>
      </c>
      <c r="D424" s="1"/>
      <c r="E424" s="1"/>
    </row>
    <row r="425" spans="1:5" x14ac:dyDescent="0.3">
      <c r="A425" s="4"/>
      <c r="B425" s="1"/>
      <c r="C425" s="1" t="str">
        <f>IF(ISBLANK(B425),"",VLOOKUP(B425,LoggerMaster!$A$2:$B$13,2,FALSE))</f>
        <v/>
      </c>
      <c r="D425" s="1"/>
      <c r="E425" s="1"/>
    </row>
    <row r="426" spans="1:5" x14ac:dyDescent="0.3">
      <c r="A426" s="4"/>
      <c r="B426" s="1"/>
      <c r="C426" s="1" t="str">
        <f>IF(ISBLANK(B426),"",VLOOKUP(B426,LoggerMaster!$A$2:$B$13,2,FALSE))</f>
        <v/>
      </c>
      <c r="D426" s="1"/>
      <c r="E426" s="1"/>
    </row>
    <row r="427" spans="1:5" x14ac:dyDescent="0.3">
      <c r="A427" s="4"/>
      <c r="B427" s="1"/>
      <c r="C427" s="1" t="str">
        <f>IF(ISBLANK(B427),"",VLOOKUP(B427,LoggerMaster!$A$2:$B$13,2,FALSE))</f>
        <v/>
      </c>
      <c r="D427" s="1"/>
      <c r="E427" s="1"/>
    </row>
    <row r="428" spans="1:5" x14ac:dyDescent="0.3">
      <c r="A428" s="4"/>
      <c r="B428" s="1"/>
      <c r="C428" s="1" t="str">
        <f>IF(ISBLANK(B428),"",VLOOKUP(B428,LoggerMaster!$A$2:$B$13,2,FALSE))</f>
        <v/>
      </c>
      <c r="D428" s="1"/>
      <c r="E428" s="1"/>
    </row>
    <row r="429" spans="1:5" x14ac:dyDescent="0.3">
      <c r="A429" s="4"/>
      <c r="B429" s="1"/>
      <c r="C429" s="1" t="str">
        <f>IF(ISBLANK(B429),"",VLOOKUP(B429,LoggerMaster!$A$2:$B$13,2,FALSE))</f>
        <v/>
      </c>
      <c r="D429" s="1"/>
      <c r="E429" s="1"/>
    </row>
    <row r="430" spans="1:5" x14ac:dyDescent="0.3">
      <c r="A430" s="4"/>
      <c r="B430" s="1"/>
      <c r="C430" s="1" t="str">
        <f>IF(ISBLANK(B430),"",VLOOKUP(B430,LoggerMaster!$A$2:$B$13,2,FALSE))</f>
        <v/>
      </c>
      <c r="D430" s="1"/>
      <c r="E430" s="1"/>
    </row>
    <row r="431" spans="1:5" x14ac:dyDescent="0.3">
      <c r="A431" s="4"/>
      <c r="B431" s="1"/>
      <c r="C431" s="1" t="str">
        <f>IF(ISBLANK(B431),"",VLOOKUP(B431,LoggerMaster!$A$2:$B$13,2,FALSE))</f>
        <v/>
      </c>
      <c r="D431" s="1"/>
      <c r="E431" s="1"/>
    </row>
    <row r="432" spans="1:5" x14ac:dyDescent="0.3">
      <c r="A432" s="4"/>
      <c r="B432" s="1"/>
      <c r="C432" s="1" t="str">
        <f>IF(ISBLANK(B432),"",VLOOKUP(B432,LoggerMaster!$A$2:$B$13,2,FALSE))</f>
        <v/>
      </c>
      <c r="D432" s="1"/>
      <c r="E432" s="1"/>
    </row>
    <row r="433" spans="1:5" x14ac:dyDescent="0.3">
      <c r="A433" s="4"/>
      <c r="B433" s="1"/>
      <c r="C433" s="1" t="str">
        <f>IF(ISBLANK(B433),"",VLOOKUP(B433,LoggerMaster!$A$2:$B$13,2,FALSE))</f>
        <v/>
      </c>
      <c r="D433" s="1"/>
      <c r="E433" s="1"/>
    </row>
    <row r="434" spans="1:5" x14ac:dyDescent="0.3">
      <c r="A434" s="4"/>
      <c r="B434" s="1"/>
      <c r="C434" s="1" t="str">
        <f>IF(ISBLANK(B434),"",VLOOKUP(B434,LoggerMaster!$A$2:$B$13,2,FALSE))</f>
        <v/>
      </c>
      <c r="D434" s="1"/>
      <c r="E434" s="1"/>
    </row>
    <row r="435" spans="1:5" x14ac:dyDescent="0.3">
      <c r="A435" s="4"/>
      <c r="B435" s="1"/>
      <c r="C435" s="1" t="str">
        <f>IF(ISBLANK(B435),"",VLOOKUP(B435,LoggerMaster!$A$2:$B$13,2,FALSE))</f>
        <v/>
      </c>
      <c r="D435" s="1"/>
      <c r="E435" s="1"/>
    </row>
    <row r="436" spans="1:5" x14ac:dyDescent="0.3">
      <c r="A436" s="4"/>
      <c r="B436" s="1"/>
      <c r="C436" s="1" t="str">
        <f>IF(ISBLANK(B436),"",VLOOKUP(B436,LoggerMaster!$A$2:$B$13,2,FALSE))</f>
        <v/>
      </c>
      <c r="D436" s="1"/>
      <c r="E436" s="1"/>
    </row>
    <row r="437" spans="1:5" x14ac:dyDescent="0.3">
      <c r="A437" s="4"/>
      <c r="B437" s="1"/>
      <c r="C437" s="1" t="str">
        <f>IF(ISBLANK(B437),"",VLOOKUP(B437,LoggerMaster!$A$2:$B$13,2,FALSE))</f>
        <v/>
      </c>
      <c r="D437" s="1"/>
      <c r="E437" s="1"/>
    </row>
    <row r="438" spans="1:5" x14ac:dyDescent="0.3">
      <c r="A438" s="4"/>
      <c r="B438" s="1"/>
      <c r="C438" s="1" t="str">
        <f>IF(ISBLANK(B438),"",VLOOKUP(B438,LoggerMaster!$A$2:$B$13,2,FALSE))</f>
        <v/>
      </c>
      <c r="D438" s="1"/>
      <c r="E438" s="1"/>
    </row>
    <row r="439" spans="1:5" x14ac:dyDescent="0.3">
      <c r="A439" s="4"/>
      <c r="B439" s="1"/>
      <c r="C439" s="1" t="str">
        <f>IF(ISBLANK(B439),"",VLOOKUP(B439,LoggerMaster!$A$2:$B$13,2,FALSE))</f>
        <v/>
      </c>
      <c r="D439" s="1"/>
      <c r="E439" s="1"/>
    </row>
    <row r="440" spans="1:5" x14ac:dyDescent="0.3">
      <c r="A440" s="4"/>
      <c r="B440" s="1"/>
      <c r="C440" s="1" t="str">
        <f>IF(ISBLANK(B440),"",VLOOKUP(B440,LoggerMaster!$A$2:$B$13,2,FALSE))</f>
        <v/>
      </c>
      <c r="D440" s="1"/>
      <c r="E440" s="1"/>
    </row>
    <row r="441" spans="1:5" x14ac:dyDescent="0.3">
      <c r="A441" s="4"/>
      <c r="B441" s="1"/>
      <c r="C441" s="1" t="str">
        <f>IF(ISBLANK(B441),"",VLOOKUP(B441,LoggerMaster!$A$2:$B$13,2,FALSE))</f>
        <v/>
      </c>
      <c r="D441" s="1"/>
      <c r="E441" s="1"/>
    </row>
    <row r="442" spans="1:5" x14ac:dyDescent="0.3">
      <c r="A442" s="4"/>
      <c r="B442" s="1"/>
      <c r="C442" s="1" t="str">
        <f>IF(ISBLANK(B442),"",VLOOKUP(B442,LoggerMaster!$A$2:$B$13,2,FALSE))</f>
        <v/>
      </c>
      <c r="D442" s="1"/>
      <c r="E442" s="1"/>
    </row>
    <row r="443" spans="1:5" x14ac:dyDescent="0.3">
      <c r="A443" s="4"/>
      <c r="B443" s="1"/>
      <c r="C443" s="1" t="str">
        <f>IF(ISBLANK(B443),"",VLOOKUP(B443,LoggerMaster!$A$2:$B$13,2,FALSE))</f>
        <v/>
      </c>
      <c r="D443" s="1"/>
      <c r="E443" s="1"/>
    </row>
    <row r="444" spans="1:5" x14ac:dyDescent="0.3">
      <c r="A444" s="4"/>
      <c r="B444" s="1"/>
      <c r="C444" s="1" t="str">
        <f>IF(ISBLANK(B444),"",VLOOKUP(B444,LoggerMaster!$A$2:$B$13,2,FALSE))</f>
        <v/>
      </c>
      <c r="D444" s="1"/>
      <c r="E444" s="1"/>
    </row>
    <row r="445" spans="1:5" x14ac:dyDescent="0.3">
      <c r="A445" s="4"/>
      <c r="B445" s="1"/>
      <c r="C445" s="1" t="str">
        <f>IF(ISBLANK(B445),"",VLOOKUP(B445,LoggerMaster!$A$2:$B$13,2,FALSE))</f>
        <v/>
      </c>
      <c r="D445" s="1"/>
      <c r="E445" s="1"/>
    </row>
    <row r="446" spans="1:5" x14ac:dyDescent="0.3">
      <c r="A446" s="4"/>
      <c r="B446" s="1"/>
      <c r="C446" s="1" t="str">
        <f>IF(ISBLANK(B446),"",VLOOKUP(B446,LoggerMaster!$A$2:$B$13,2,FALSE))</f>
        <v/>
      </c>
      <c r="D446" s="1"/>
      <c r="E446" s="1"/>
    </row>
    <row r="447" spans="1:5" x14ac:dyDescent="0.3">
      <c r="A447" s="4"/>
      <c r="B447" s="1"/>
      <c r="C447" s="1" t="str">
        <f>IF(ISBLANK(B447),"",VLOOKUP(B447,LoggerMaster!$A$2:$B$13,2,FALSE))</f>
        <v/>
      </c>
      <c r="D447" s="1"/>
      <c r="E447" s="1"/>
    </row>
    <row r="448" spans="1:5" x14ac:dyDescent="0.3">
      <c r="A448" s="4"/>
      <c r="B448" s="1"/>
      <c r="C448" s="1" t="str">
        <f>IF(ISBLANK(B448),"",VLOOKUP(B448,LoggerMaster!$A$2:$B$13,2,FALSE))</f>
        <v/>
      </c>
      <c r="D448" s="1"/>
      <c r="E448" s="1"/>
    </row>
    <row r="449" spans="1:5" x14ac:dyDescent="0.3">
      <c r="A449" s="4"/>
      <c r="B449" s="1"/>
      <c r="C449" s="1" t="str">
        <f>IF(ISBLANK(B449),"",VLOOKUP(B449,LoggerMaster!$A$2:$B$13,2,FALSE))</f>
        <v/>
      </c>
      <c r="D449" s="1"/>
      <c r="E449" s="1"/>
    </row>
    <row r="450" spans="1:5" x14ac:dyDescent="0.3">
      <c r="A450" s="4"/>
      <c r="B450" s="1"/>
      <c r="C450" s="1" t="str">
        <f>IF(ISBLANK(B450),"",VLOOKUP(B450,LoggerMaster!$A$2:$B$13,2,FALSE))</f>
        <v/>
      </c>
      <c r="D450" s="1"/>
      <c r="E450" s="1"/>
    </row>
    <row r="451" spans="1:5" x14ac:dyDescent="0.3">
      <c r="A451" s="4"/>
      <c r="B451" s="1"/>
      <c r="C451" s="1" t="str">
        <f>IF(ISBLANK(B451),"",VLOOKUP(B451,LoggerMaster!$A$2:$B$13,2,FALSE))</f>
        <v/>
      </c>
      <c r="D451" s="1"/>
      <c r="E451" s="1"/>
    </row>
    <row r="452" spans="1:5" x14ac:dyDescent="0.3">
      <c r="A452" s="4"/>
      <c r="B452" s="1"/>
      <c r="C452" s="1" t="str">
        <f>IF(ISBLANK(B452),"",VLOOKUP(B452,LoggerMaster!$A$2:$B$13,2,FALSE))</f>
        <v/>
      </c>
      <c r="D452" s="1"/>
      <c r="E452" s="1"/>
    </row>
    <row r="453" spans="1:5" x14ac:dyDescent="0.3">
      <c r="A453" s="4"/>
      <c r="B453" s="1"/>
      <c r="C453" s="1" t="str">
        <f>IF(ISBLANK(B453),"",VLOOKUP(B453,LoggerMaster!$A$2:$B$13,2,FALSE))</f>
        <v/>
      </c>
      <c r="D453" s="1"/>
      <c r="E453" s="1"/>
    </row>
    <row r="454" spans="1:5" x14ac:dyDescent="0.3">
      <c r="A454" s="4"/>
      <c r="B454" s="1"/>
      <c r="C454" s="1" t="str">
        <f>IF(ISBLANK(B454),"",VLOOKUP(B454,LoggerMaster!$A$2:$B$13,2,FALSE))</f>
        <v/>
      </c>
      <c r="D454" s="1"/>
      <c r="E454" s="1"/>
    </row>
    <row r="455" spans="1:5" x14ac:dyDescent="0.3">
      <c r="A455" s="4"/>
      <c r="B455" s="1"/>
      <c r="C455" s="1" t="str">
        <f>IF(ISBLANK(B455),"",VLOOKUP(B455,LoggerMaster!$A$2:$B$13,2,FALSE))</f>
        <v/>
      </c>
      <c r="D455" s="1"/>
      <c r="E455" s="1"/>
    </row>
    <row r="456" spans="1:5" x14ac:dyDescent="0.3">
      <c r="A456" s="4"/>
      <c r="B456" s="1"/>
      <c r="C456" s="1" t="str">
        <f>IF(ISBLANK(B456),"",VLOOKUP(B456,LoggerMaster!$A$2:$B$13,2,FALSE))</f>
        <v/>
      </c>
      <c r="D456" s="1"/>
      <c r="E456" s="1"/>
    </row>
    <row r="457" spans="1:5" x14ac:dyDescent="0.3">
      <c r="A457" s="4"/>
      <c r="B457" s="1"/>
      <c r="C457" s="1" t="str">
        <f>IF(ISBLANK(B457),"",VLOOKUP(B457,LoggerMaster!$A$2:$B$13,2,FALSE))</f>
        <v/>
      </c>
      <c r="D457" s="1"/>
      <c r="E457" s="1"/>
    </row>
    <row r="458" spans="1:5" x14ac:dyDescent="0.3">
      <c r="A458" s="4"/>
      <c r="B458" s="1"/>
      <c r="C458" s="1" t="str">
        <f>IF(ISBLANK(B458),"",VLOOKUP(B458,LoggerMaster!$A$2:$B$13,2,FALSE))</f>
        <v/>
      </c>
      <c r="D458" s="1"/>
      <c r="E458" s="1"/>
    </row>
    <row r="459" spans="1:5" x14ac:dyDescent="0.3">
      <c r="A459" s="4"/>
      <c r="B459" s="1"/>
      <c r="C459" s="1" t="str">
        <f>IF(ISBLANK(B459),"",VLOOKUP(B459,LoggerMaster!$A$2:$B$13,2,FALSE))</f>
        <v/>
      </c>
      <c r="D459" s="1"/>
      <c r="E459" s="1"/>
    </row>
    <row r="460" spans="1:5" x14ac:dyDescent="0.3">
      <c r="A460" s="4"/>
      <c r="B460" s="1"/>
      <c r="C460" s="1" t="str">
        <f>IF(ISBLANK(B460),"",VLOOKUP(B460,LoggerMaster!$A$2:$B$13,2,FALSE))</f>
        <v/>
      </c>
      <c r="D460" s="1"/>
      <c r="E460" s="1"/>
    </row>
    <row r="461" spans="1:5" x14ac:dyDescent="0.3">
      <c r="A461" s="4"/>
      <c r="B461" s="1"/>
      <c r="C461" s="1" t="str">
        <f>IF(ISBLANK(B461),"",VLOOKUP(B461,LoggerMaster!$A$2:$B$13,2,FALSE))</f>
        <v/>
      </c>
      <c r="D461" s="1"/>
      <c r="E461" s="1"/>
    </row>
    <row r="462" spans="1:5" x14ac:dyDescent="0.3">
      <c r="A462" s="4"/>
      <c r="B462" s="1"/>
      <c r="C462" s="1" t="str">
        <f>IF(ISBLANK(B462),"",VLOOKUP(B462,LoggerMaster!$A$2:$B$13,2,FALSE))</f>
        <v/>
      </c>
      <c r="D462" s="1"/>
      <c r="E462" s="1"/>
    </row>
    <row r="463" spans="1:5" x14ac:dyDescent="0.3">
      <c r="A463" s="4"/>
      <c r="B463" s="1"/>
      <c r="C463" s="1" t="str">
        <f>IF(ISBLANK(B463),"",VLOOKUP(B463,LoggerMaster!$A$2:$B$13,2,FALSE))</f>
        <v/>
      </c>
      <c r="D463" s="1"/>
      <c r="E463" s="1"/>
    </row>
    <row r="464" spans="1:5" x14ac:dyDescent="0.3">
      <c r="A464" s="4"/>
      <c r="B464" s="1"/>
      <c r="C464" s="1" t="str">
        <f>IF(ISBLANK(B464),"",VLOOKUP(B464,LoggerMaster!$A$2:$B$13,2,FALSE))</f>
        <v/>
      </c>
      <c r="D464" s="1"/>
      <c r="E464" s="1"/>
    </row>
    <row r="465" spans="1:5" x14ac:dyDescent="0.3">
      <c r="A465" s="4"/>
      <c r="B465" s="1"/>
      <c r="C465" s="1" t="str">
        <f>IF(ISBLANK(B465),"",VLOOKUP(B465,LoggerMaster!$A$2:$B$13,2,FALSE))</f>
        <v/>
      </c>
      <c r="D465" s="1"/>
      <c r="E465" s="1"/>
    </row>
    <row r="466" spans="1:5" x14ac:dyDescent="0.3">
      <c r="A466" s="4"/>
      <c r="B466" s="1"/>
      <c r="C466" s="1" t="str">
        <f>IF(ISBLANK(B466),"",VLOOKUP(B466,LoggerMaster!$A$2:$B$13,2,FALSE))</f>
        <v/>
      </c>
      <c r="D466" s="1"/>
      <c r="E466" s="1"/>
    </row>
    <row r="467" spans="1:5" x14ac:dyDescent="0.3">
      <c r="A467" s="4"/>
      <c r="B467" s="1"/>
      <c r="C467" s="1" t="str">
        <f>IF(ISBLANK(B467),"",VLOOKUP(B467,LoggerMaster!$A$2:$B$13,2,FALSE))</f>
        <v/>
      </c>
      <c r="D467" s="1"/>
      <c r="E467" s="1"/>
    </row>
    <row r="468" spans="1:5" x14ac:dyDescent="0.3">
      <c r="A468" s="4"/>
      <c r="B468" s="1"/>
      <c r="C468" s="1" t="str">
        <f>IF(ISBLANK(B468),"",VLOOKUP(B468,LoggerMaster!$A$2:$B$13,2,FALSE))</f>
        <v/>
      </c>
      <c r="D468" s="1"/>
      <c r="E468" s="1"/>
    </row>
    <row r="469" spans="1:5" x14ac:dyDescent="0.3">
      <c r="A469" s="4"/>
      <c r="B469" s="1"/>
      <c r="C469" s="1" t="str">
        <f>IF(ISBLANK(B469),"",VLOOKUP(B469,LoggerMaster!$A$2:$B$13,2,FALSE))</f>
        <v/>
      </c>
      <c r="D469" s="1"/>
      <c r="E469" s="1"/>
    </row>
    <row r="470" spans="1:5" x14ac:dyDescent="0.3">
      <c r="A470" s="4"/>
      <c r="B470" s="1"/>
      <c r="C470" s="1" t="str">
        <f>IF(ISBLANK(B470),"",VLOOKUP(B470,LoggerMaster!$A$2:$B$13,2,FALSE))</f>
        <v/>
      </c>
      <c r="D470" s="1"/>
      <c r="E470" s="1"/>
    </row>
    <row r="471" spans="1:5" x14ac:dyDescent="0.3">
      <c r="A471" s="4"/>
      <c r="B471" s="1"/>
      <c r="C471" s="1" t="str">
        <f>IF(ISBLANK(B471),"",VLOOKUP(B471,LoggerMaster!$A$2:$B$13,2,FALSE))</f>
        <v/>
      </c>
      <c r="D471" s="1"/>
      <c r="E471" s="1"/>
    </row>
    <row r="472" spans="1:5" x14ac:dyDescent="0.3">
      <c r="A472" s="4"/>
      <c r="B472" s="1"/>
      <c r="C472" s="1" t="str">
        <f>IF(ISBLANK(B472),"",VLOOKUP(B472,LoggerMaster!$A$2:$B$13,2,FALSE))</f>
        <v/>
      </c>
      <c r="D472" s="1"/>
      <c r="E472" s="1"/>
    </row>
    <row r="473" spans="1:5" x14ac:dyDescent="0.3">
      <c r="A473" s="4"/>
      <c r="B473" s="1"/>
      <c r="C473" s="1" t="str">
        <f>IF(ISBLANK(B473),"",VLOOKUP(B473,LoggerMaster!$A$2:$B$13,2,FALSE))</f>
        <v/>
      </c>
      <c r="D473" s="1"/>
      <c r="E473" s="1"/>
    </row>
    <row r="474" spans="1:5" x14ac:dyDescent="0.3">
      <c r="A474" s="4"/>
      <c r="B474" s="1"/>
      <c r="C474" s="1" t="str">
        <f>IF(ISBLANK(B474),"",VLOOKUP(B474,LoggerMaster!$A$2:$B$13,2,FALSE))</f>
        <v/>
      </c>
      <c r="D474" s="1"/>
      <c r="E474" s="1"/>
    </row>
    <row r="475" spans="1:5" x14ac:dyDescent="0.3">
      <c r="A475" s="4"/>
      <c r="B475" s="1"/>
      <c r="C475" s="1" t="str">
        <f>IF(ISBLANK(B475),"",VLOOKUP(B475,LoggerMaster!$A$2:$B$13,2,FALSE))</f>
        <v/>
      </c>
      <c r="D475" s="1"/>
      <c r="E475" s="1"/>
    </row>
    <row r="476" spans="1:5" x14ac:dyDescent="0.3">
      <c r="A476" s="4"/>
      <c r="B476" s="1"/>
      <c r="C476" s="1" t="str">
        <f>IF(ISBLANK(B476),"",VLOOKUP(B476,LoggerMaster!$A$2:$B$13,2,FALSE))</f>
        <v/>
      </c>
      <c r="D476" s="1"/>
      <c r="E476" s="1"/>
    </row>
    <row r="477" spans="1:5" x14ac:dyDescent="0.3">
      <c r="A477" s="4"/>
      <c r="B477" s="1"/>
      <c r="C477" s="1" t="str">
        <f>IF(ISBLANK(B477),"",VLOOKUP(B477,LoggerMaster!$A$2:$B$13,2,FALSE))</f>
        <v/>
      </c>
      <c r="D477" s="1"/>
      <c r="E477" s="1"/>
    </row>
    <row r="478" spans="1:5" x14ac:dyDescent="0.3">
      <c r="A478" s="4"/>
      <c r="B478" s="1"/>
      <c r="C478" s="1" t="str">
        <f>IF(ISBLANK(B478),"",VLOOKUP(B478,LoggerMaster!$A$2:$B$13,2,FALSE))</f>
        <v/>
      </c>
      <c r="D478" s="1"/>
      <c r="E478" s="1"/>
    </row>
    <row r="479" spans="1:5" x14ac:dyDescent="0.3">
      <c r="A479" s="4"/>
      <c r="B479" s="1"/>
      <c r="C479" s="1" t="str">
        <f>IF(ISBLANK(B479),"",VLOOKUP(B479,LoggerMaster!$A$2:$B$13,2,FALSE))</f>
        <v/>
      </c>
      <c r="D479" s="1"/>
      <c r="E479" s="1"/>
    </row>
    <row r="480" spans="1:5" x14ac:dyDescent="0.3">
      <c r="A480" s="4"/>
      <c r="B480" s="1"/>
      <c r="C480" s="1" t="str">
        <f>IF(ISBLANK(B480),"",VLOOKUP(B480,LoggerMaster!$A$2:$B$13,2,FALSE))</f>
        <v/>
      </c>
      <c r="D480" s="1"/>
      <c r="E480" s="1"/>
    </row>
    <row r="481" spans="1:5" x14ac:dyDescent="0.3">
      <c r="A481" s="4"/>
      <c r="B481" s="1"/>
      <c r="C481" s="1" t="str">
        <f>IF(ISBLANK(B481),"",VLOOKUP(B481,LoggerMaster!$A$2:$B$13,2,FALSE))</f>
        <v/>
      </c>
      <c r="D481" s="1"/>
      <c r="E481" s="1"/>
    </row>
    <row r="482" spans="1:5" x14ac:dyDescent="0.3">
      <c r="A482" s="4"/>
      <c r="B482" s="1"/>
      <c r="C482" s="1" t="str">
        <f>IF(ISBLANK(B482),"",VLOOKUP(B482,LoggerMaster!$A$2:$B$13,2,FALSE))</f>
        <v/>
      </c>
      <c r="D482" s="1"/>
      <c r="E482" s="1"/>
    </row>
    <row r="483" spans="1:5" x14ac:dyDescent="0.3">
      <c r="A483" s="4"/>
      <c r="B483" s="1"/>
      <c r="C483" s="1" t="str">
        <f>IF(ISBLANK(B483),"",VLOOKUP(B483,LoggerMaster!$A$2:$B$13,2,FALSE))</f>
        <v/>
      </c>
      <c r="D483" s="1"/>
      <c r="E483" s="1"/>
    </row>
    <row r="484" spans="1:5" x14ac:dyDescent="0.3">
      <c r="A484" s="4"/>
      <c r="B484" s="1"/>
      <c r="C484" s="1" t="str">
        <f>IF(ISBLANK(B484),"",VLOOKUP(B484,LoggerMaster!$A$2:$B$13,2,FALSE))</f>
        <v/>
      </c>
      <c r="D484" s="1"/>
      <c r="E484" s="1"/>
    </row>
    <row r="485" spans="1:5" x14ac:dyDescent="0.3">
      <c r="A485" s="4"/>
      <c r="B485" s="1"/>
      <c r="C485" s="1" t="str">
        <f>IF(ISBLANK(B485),"",VLOOKUP(B485,LoggerMaster!$A$2:$B$13,2,FALSE))</f>
        <v/>
      </c>
      <c r="D485" s="1"/>
      <c r="E485" s="1"/>
    </row>
    <row r="486" spans="1:5" x14ac:dyDescent="0.3">
      <c r="A486" s="4"/>
      <c r="B486" s="1"/>
      <c r="C486" s="1" t="str">
        <f>IF(ISBLANK(B486),"",VLOOKUP(B486,LoggerMaster!$A$2:$B$13,2,FALSE))</f>
        <v/>
      </c>
      <c r="D486" s="1"/>
      <c r="E486" s="1"/>
    </row>
    <row r="487" spans="1:5" x14ac:dyDescent="0.3">
      <c r="A487" s="4"/>
      <c r="B487" s="1"/>
      <c r="C487" s="1" t="str">
        <f>IF(ISBLANK(B487),"",VLOOKUP(B487,LoggerMaster!$A$2:$B$13,2,FALSE))</f>
        <v/>
      </c>
      <c r="D487" s="1"/>
      <c r="E487" s="1"/>
    </row>
    <row r="488" spans="1:5" x14ac:dyDescent="0.3">
      <c r="A488" s="4"/>
      <c r="B488" s="1"/>
      <c r="C488" s="1" t="str">
        <f>IF(ISBLANK(B488),"",VLOOKUP(B488,LoggerMaster!$A$2:$B$13,2,FALSE))</f>
        <v/>
      </c>
      <c r="D488" s="1"/>
      <c r="E488" s="1"/>
    </row>
    <row r="489" spans="1:5" x14ac:dyDescent="0.3">
      <c r="A489" s="4"/>
      <c r="B489" s="1"/>
      <c r="C489" s="1" t="str">
        <f>IF(ISBLANK(B489),"",VLOOKUP(B489,LoggerMaster!$A$2:$B$13,2,FALSE))</f>
        <v/>
      </c>
      <c r="D489" s="1"/>
      <c r="E489" s="1"/>
    </row>
    <row r="490" spans="1:5" x14ac:dyDescent="0.3">
      <c r="A490" s="4"/>
      <c r="B490" s="1"/>
      <c r="C490" s="1" t="str">
        <f>IF(ISBLANK(B490),"",VLOOKUP(B490,LoggerMaster!$A$2:$B$13,2,FALSE))</f>
        <v/>
      </c>
      <c r="D490" s="1"/>
      <c r="E490" s="1"/>
    </row>
    <row r="491" spans="1:5" x14ac:dyDescent="0.3">
      <c r="A491" s="4"/>
      <c r="B491" s="1"/>
      <c r="C491" s="1" t="str">
        <f>IF(ISBLANK(B491),"",VLOOKUP(B491,LoggerMaster!$A$2:$B$13,2,FALSE))</f>
        <v/>
      </c>
      <c r="D491" s="1"/>
      <c r="E491" s="1"/>
    </row>
    <row r="492" spans="1:5" x14ac:dyDescent="0.3">
      <c r="A492" s="4"/>
      <c r="B492" s="1"/>
      <c r="C492" s="1" t="str">
        <f>IF(ISBLANK(B492),"",VLOOKUP(B492,LoggerMaster!$A$2:$B$13,2,FALSE))</f>
        <v/>
      </c>
      <c r="D492" s="1"/>
      <c r="E492" s="1"/>
    </row>
    <row r="493" spans="1:5" x14ac:dyDescent="0.3">
      <c r="A493" s="4"/>
      <c r="B493" s="1"/>
      <c r="C493" s="1" t="str">
        <f>IF(ISBLANK(B493),"",VLOOKUP(B493,LoggerMaster!$A$2:$B$13,2,FALSE))</f>
        <v/>
      </c>
      <c r="D493" s="1"/>
      <c r="E493" s="1"/>
    </row>
    <row r="494" spans="1:5" x14ac:dyDescent="0.3">
      <c r="A494" s="4"/>
      <c r="B494" s="1"/>
      <c r="C494" s="1" t="str">
        <f>IF(ISBLANK(B494),"",VLOOKUP(B494,LoggerMaster!$A$2:$B$13,2,FALSE))</f>
        <v/>
      </c>
      <c r="D494" s="1"/>
      <c r="E494" s="1"/>
    </row>
    <row r="495" spans="1:5" x14ac:dyDescent="0.3">
      <c r="A495" s="4"/>
      <c r="B495" s="1"/>
      <c r="C495" s="1" t="str">
        <f>IF(ISBLANK(B495),"",VLOOKUP(B495,LoggerMaster!$A$2:$B$13,2,FALSE))</f>
        <v/>
      </c>
      <c r="D495" s="1"/>
      <c r="E495" s="1"/>
    </row>
    <row r="496" spans="1:5" x14ac:dyDescent="0.3">
      <c r="A496" s="4"/>
      <c r="B496" s="1"/>
      <c r="C496" s="1" t="str">
        <f>IF(ISBLANK(B496),"",VLOOKUP(B496,LoggerMaster!$A$2:$B$13,2,FALSE))</f>
        <v/>
      </c>
      <c r="D496" s="1"/>
      <c r="E496" s="1"/>
    </row>
    <row r="497" spans="1:5" x14ac:dyDescent="0.3">
      <c r="A497" s="4"/>
      <c r="B497" s="1"/>
      <c r="C497" s="1" t="str">
        <f>IF(ISBLANK(B497),"",VLOOKUP(B497,LoggerMaster!$A$2:$B$13,2,FALSE))</f>
        <v/>
      </c>
      <c r="D497" s="1"/>
      <c r="E497" s="1"/>
    </row>
    <row r="498" spans="1:5" x14ac:dyDescent="0.3">
      <c r="A498" s="4"/>
      <c r="B498" s="1"/>
      <c r="C498" s="1" t="str">
        <f>IF(ISBLANK(B498),"",VLOOKUP(B498,LoggerMaster!$A$2:$B$13,2,FALSE))</f>
        <v/>
      </c>
      <c r="D498" s="1"/>
      <c r="E498" s="1"/>
    </row>
    <row r="499" spans="1:5" x14ac:dyDescent="0.3">
      <c r="A499" s="4"/>
      <c r="B499" s="1"/>
      <c r="C499" s="1" t="str">
        <f>IF(ISBLANK(B499),"",VLOOKUP(B499,LoggerMaster!$A$2:$B$13,2,FALSE))</f>
        <v/>
      </c>
      <c r="D499" s="1"/>
      <c r="E499" s="1"/>
    </row>
    <row r="500" spans="1:5" x14ac:dyDescent="0.3">
      <c r="A500" s="4"/>
      <c r="B500" s="1"/>
      <c r="C500" s="1" t="str">
        <f>IF(ISBLANK(B500),"",VLOOKUP(B500,LoggerMaster!$A$2:$B$13,2,FALSE))</f>
        <v/>
      </c>
      <c r="D500" s="1"/>
      <c r="E500" s="1"/>
    </row>
    <row r="501" spans="1:5" x14ac:dyDescent="0.3">
      <c r="A501" s="4"/>
      <c r="B501" s="1"/>
      <c r="C501" s="1" t="str">
        <f>IF(ISBLANK(B501),"",VLOOKUP(B501,LoggerMaster!$A$2:$B$13,2,FALSE))</f>
        <v/>
      </c>
      <c r="D501" s="1"/>
      <c r="E501" s="1"/>
    </row>
    <row r="502" spans="1:5" x14ac:dyDescent="0.3">
      <c r="A502" s="4"/>
      <c r="B502" s="1"/>
      <c r="C502" s="1" t="str">
        <f>IF(ISBLANK(B502),"",VLOOKUP(B502,LoggerMaster!$A$2:$B$13,2,FALSE))</f>
        <v/>
      </c>
      <c r="D502" s="1"/>
      <c r="E502" s="1"/>
    </row>
    <row r="503" spans="1:5" x14ac:dyDescent="0.3">
      <c r="A503" s="4"/>
      <c r="B503" s="1"/>
      <c r="C503" s="1" t="str">
        <f>IF(ISBLANK(B503),"",VLOOKUP(B503,LoggerMaster!$A$2:$B$13,2,FALSE))</f>
        <v/>
      </c>
      <c r="D503" s="1"/>
      <c r="E503" s="1"/>
    </row>
    <row r="504" spans="1:5" x14ac:dyDescent="0.3">
      <c r="A504" s="4"/>
      <c r="B504" s="1"/>
      <c r="C504" s="1" t="str">
        <f>IF(ISBLANK(B504),"",VLOOKUP(B504,LoggerMaster!$A$2:$B$13,2,FALSE))</f>
        <v/>
      </c>
      <c r="D504" s="1"/>
      <c r="E504" s="1"/>
    </row>
    <row r="505" spans="1:5" x14ac:dyDescent="0.3">
      <c r="A505" s="4"/>
      <c r="B505" s="1"/>
      <c r="C505" s="1" t="str">
        <f>IF(ISBLANK(B505),"",VLOOKUP(B505,LoggerMaster!$A$2:$B$13,2,FALSE))</f>
        <v/>
      </c>
      <c r="D505" s="1"/>
      <c r="E505" s="1"/>
    </row>
    <row r="506" spans="1:5" x14ac:dyDescent="0.3">
      <c r="A506" s="4"/>
      <c r="B506" s="1"/>
      <c r="C506" s="1" t="str">
        <f>IF(ISBLANK(B506),"",VLOOKUP(B506,LoggerMaster!$A$2:$B$13,2,FALSE))</f>
        <v/>
      </c>
      <c r="D506" s="1"/>
      <c r="E506" s="1"/>
    </row>
    <row r="507" spans="1:5" x14ac:dyDescent="0.3">
      <c r="A507" s="4"/>
      <c r="B507" s="1"/>
      <c r="C507" s="1" t="str">
        <f>IF(ISBLANK(B507),"",VLOOKUP(B507,LoggerMaster!$A$2:$B$13,2,FALSE))</f>
        <v/>
      </c>
      <c r="D507" s="1"/>
      <c r="E507" s="1"/>
    </row>
    <row r="508" spans="1:5" x14ac:dyDescent="0.3">
      <c r="A508" s="4"/>
      <c r="B508" s="1"/>
      <c r="C508" s="1" t="str">
        <f>IF(ISBLANK(B508),"",VLOOKUP(B508,LoggerMaster!$A$2:$B$13,2,FALSE))</f>
        <v/>
      </c>
      <c r="D508" s="1"/>
      <c r="E508" s="1"/>
    </row>
    <row r="509" spans="1:5" x14ac:dyDescent="0.3">
      <c r="A509" s="4"/>
      <c r="B509" s="1"/>
      <c r="C509" s="1" t="str">
        <f>IF(ISBLANK(B509),"",VLOOKUP(B509,LoggerMaster!$A$2:$B$13,2,FALSE))</f>
        <v/>
      </c>
      <c r="D509" s="1"/>
      <c r="E509" s="1"/>
    </row>
    <row r="510" spans="1:5" x14ac:dyDescent="0.3">
      <c r="A510" s="4"/>
      <c r="B510" s="1"/>
      <c r="C510" s="1" t="str">
        <f>IF(ISBLANK(B510),"",VLOOKUP(B510,LoggerMaster!$A$2:$B$13,2,FALSE))</f>
        <v/>
      </c>
      <c r="D510" s="1"/>
      <c r="E510" s="1"/>
    </row>
    <row r="511" spans="1:5" x14ac:dyDescent="0.3">
      <c r="A511" s="4"/>
      <c r="B511" s="1"/>
      <c r="C511" s="1" t="str">
        <f>IF(ISBLANK(B511),"",VLOOKUP(B511,LoggerMaster!$A$2:$B$13,2,FALSE))</f>
        <v/>
      </c>
      <c r="D511" s="1"/>
      <c r="E511" s="1"/>
    </row>
    <row r="512" spans="1:5" x14ac:dyDescent="0.3">
      <c r="A512" s="4"/>
      <c r="B512" s="1"/>
      <c r="C512" s="1" t="str">
        <f>IF(ISBLANK(B512),"",VLOOKUP(B512,LoggerMaster!$A$2:$B$13,2,FALSE))</f>
        <v/>
      </c>
      <c r="D512" s="1"/>
      <c r="E512" s="1"/>
    </row>
    <row r="513" spans="1:5" x14ac:dyDescent="0.3">
      <c r="A513" s="4"/>
      <c r="B513" s="1"/>
      <c r="C513" s="1" t="str">
        <f>IF(ISBLANK(B513),"",VLOOKUP(B513,LoggerMaster!$A$2:$B$13,2,FALSE))</f>
        <v/>
      </c>
      <c r="D513" s="1"/>
      <c r="E513" s="1"/>
    </row>
    <row r="514" spans="1:5" x14ac:dyDescent="0.3">
      <c r="A514" s="4"/>
      <c r="B514" s="1"/>
      <c r="C514" s="1" t="str">
        <f>IF(ISBLANK(B514),"",VLOOKUP(B514,LoggerMaster!$A$2:$B$13,2,FALSE))</f>
        <v/>
      </c>
      <c r="D514" s="1"/>
      <c r="E514" s="1"/>
    </row>
    <row r="515" spans="1:5" x14ac:dyDescent="0.3">
      <c r="A515" s="4"/>
      <c r="B515" s="1"/>
      <c r="C515" s="1" t="str">
        <f>IF(ISBLANK(B515),"",VLOOKUP(B515,LoggerMaster!$A$2:$B$13,2,FALSE))</f>
        <v/>
      </c>
      <c r="D515" s="1"/>
      <c r="E515" s="1"/>
    </row>
    <row r="516" spans="1:5" x14ac:dyDescent="0.3">
      <c r="A516" s="4"/>
      <c r="B516" s="1"/>
      <c r="C516" s="1" t="str">
        <f>IF(ISBLANK(B516),"",VLOOKUP(B516,LoggerMaster!$A$2:$B$13,2,FALSE))</f>
        <v/>
      </c>
      <c r="D516" s="1"/>
      <c r="E516" s="1"/>
    </row>
    <row r="517" spans="1:5" x14ac:dyDescent="0.3">
      <c r="A517" s="4"/>
      <c r="B517" s="1"/>
      <c r="C517" s="1" t="str">
        <f>IF(ISBLANK(B517),"",VLOOKUP(B517,LoggerMaster!$A$2:$B$13,2,FALSE))</f>
        <v/>
      </c>
      <c r="D517" s="1"/>
      <c r="E517" s="1"/>
    </row>
    <row r="518" spans="1:5" x14ac:dyDescent="0.3">
      <c r="A518" s="4"/>
      <c r="B518" s="1"/>
      <c r="C518" s="1" t="str">
        <f>IF(ISBLANK(B518),"",VLOOKUP(B518,LoggerMaster!$A$2:$B$13,2,FALSE))</f>
        <v/>
      </c>
      <c r="D518" s="1"/>
      <c r="E518" s="1"/>
    </row>
    <row r="519" spans="1:5" x14ac:dyDescent="0.3">
      <c r="A519" s="4"/>
      <c r="B519" s="1"/>
      <c r="C519" s="1" t="str">
        <f>IF(ISBLANK(B519),"",VLOOKUP(B519,LoggerMaster!$A$2:$B$13,2,FALSE))</f>
        <v/>
      </c>
      <c r="D519" s="1"/>
      <c r="E519" s="1"/>
    </row>
    <row r="520" spans="1:5" x14ac:dyDescent="0.3">
      <c r="A520" s="4"/>
      <c r="B520" s="1"/>
      <c r="C520" s="1" t="str">
        <f>IF(ISBLANK(B520),"",VLOOKUP(B520,LoggerMaster!$A$2:$B$13,2,FALSE))</f>
        <v/>
      </c>
      <c r="D520" s="1"/>
      <c r="E520" s="1"/>
    </row>
    <row r="521" spans="1:5" x14ac:dyDescent="0.3">
      <c r="A521" s="4"/>
      <c r="B521" s="1"/>
      <c r="C521" s="1" t="str">
        <f>IF(ISBLANK(B521),"",VLOOKUP(B521,LoggerMaster!$A$2:$B$13,2,FALSE))</f>
        <v/>
      </c>
      <c r="D521" s="1"/>
      <c r="E521" s="1"/>
    </row>
    <row r="522" spans="1:5" x14ac:dyDescent="0.3">
      <c r="A522" s="4"/>
      <c r="B522" s="1"/>
      <c r="C522" s="1" t="str">
        <f>IF(ISBLANK(B522),"",VLOOKUP(B522,LoggerMaster!$A$2:$B$13,2,FALSE))</f>
        <v/>
      </c>
      <c r="D522" s="1"/>
      <c r="E522" s="1"/>
    </row>
    <row r="523" spans="1:5" x14ac:dyDescent="0.3">
      <c r="A523" s="4"/>
      <c r="B523" s="1"/>
      <c r="C523" s="1" t="str">
        <f>IF(ISBLANK(B523),"",VLOOKUP(B523,LoggerMaster!$A$2:$B$13,2,FALSE))</f>
        <v/>
      </c>
      <c r="D523" s="1"/>
      <c r="E523" s="1"/>
    </row>
    <row r="524" spans="1:5" x14ac:dyDescent="0.3">
      <c r="A524" s="4"/>
      <c r="B524" s="1"/>
      <c r="C524" s="1" t="str">
        <f>IF(ISBLANK(B524),"",VLOOKUP(B524,LoggerMaster!$A$2:$B$13,2,FALSE))</f>
        <v/>
      </c>
      <c r="D524" s="1"/>
      <c r="E524" s="1"/>
    </row>
    <row r="525" spans="1:5" x14ac:dyDescent="0.3">
      <c r="A525" s="4"/>
      <c r="B525" s="1"/>
      <c r="C525" s="1" t="str">
        <f>IF(ISBLANK(B525),"",VLOOKUP(B525,LoggerMaster!$A$2:$B$13,2,FALSE))</f>
        <v/>
      </c>
      <c r="D525" s="1"/>
      <c r="E525" s="1"/>
    </row>
    <row r="526" spans="1:5" x14ac:dyDescent="0.3">
      <c r="A526" s="4"/>
      <c r="B526" s="1"/>
      <c r="C526" s="1" t="str">
        <f>IF(ISBLANK(B526),"",VLOOKUP(B526,LoggerMaster!$A$2:$B$13,2,FALSE))</f>
        <v/>
      </c>
      <c r="D526" s="1"/>
      <c r="E526" s="1"/>
    </row>
    <row r="527" spans="1:5" x14ac:dyDescent="0.3">
      <c r="A527" s="4"/>
      <c r="B527" s="1"/>
      <c r="C527" s="1" t="str">
        <f>IF(ISBLANK(B527),"",VLOOKUP(B527,LoggerMaster!$A$2:$B$13,2,FALSE))</f>
        <v/>
      </c>
      <c r="D527" s="1"/>
      <c r="E527" s="1"/>
    </row>
    <row r="528" spans="1:5" x14ac:dyDescent="0.3">
      <c r="A528" s="4"/>
      <c r="B528" s="1"/>
      <c r="C528" s="1" t="str">
        <f>IF(ISBLANK(B528),"",VLOOKUP(B528,LoggerMaster!$A$2:$B$13,2,FALSE))</f>
        <v/>
      </c>
      <c r="D528" s="1"/>
      <c r="E528" s="1"/>
    </row>
    <row r="529" spans="1:5" x14ac:dyDescent="0.3">
      <c r="A529" s="4"/>
      <c r="B529" s="1"/>
      <c r="C529" s="1" t="str">
        <f>IF(ISBLANK(B529),"",VLOOKUP(B529,LoggerMaster!$A$2:$B$13,2,FALSE))</f>
        <v/>
      </c>
      <c r="D529" s="1"/>
      <c r="E529" s="1"/>
    </row>
    <row r="530" spans="1:5" x14ac:dyDescent="0.3">
      <c r="A530" s="4"/>
      <c r="B530" s="1"/>
      <c r="C530" s="1" t="str">
        <f>IF(ISBLANK(B530),"",VLOOKUP(B530,LoggerMaster!$A$2:$B$13,2,FALSE))</f>
        <v/>
      </c>
      <c r="D530" s="1"/>
      <c r="E530" s="1"/>
    </row>
    <row r="531" spans="1:5" x14ac:dyDescent="0.3">
      <c r="A531" s="4"/>
      <c r="B531" s="1"/>
      <c r="C531" s="1" t="str">
        <f>IF(ISBLANK(B531),"",VLOOKUP(B531,LoggerMaster!$A$2:$B$13,2,FALSE))</f>
        <v/>
      </c>
      <c r="D531" s="1"/>
      <c r="E531" s="1"/>
    </row>
    <row r="532" spans="1:5" x14ac:dyDescent="0.3">
      <c r="A532" s="4"/>
      <c r="B532" s="1"/>
      <c r="C532" s="1" t="str">
        <f>IF(ISBLANK(B532),"",VLOOKUP(B532,LoggerMaster!$A$2:$B$13,2,FALSE))</f>
        <v/>
      </c>
      <c r="D532" s="1"/>
      <c r="E532" s="1"/>
    </row>
    <row r="533" spans="1:5" x14ac:dyDescent="0.3">
      <c r="A533" s="4"/>
      <c r="B533" s="1"/>
      <c r="C533" s="1" t="str">
        <f>IF(ISBLANK(B533),"",VLOOKUP(B533,LoggerMaster!$A$2:$B$13,2,FALSE))</f>
        <v/>
      </c>
      <c r="D533" s="1"/>
      <c r="E533" s="1"/>
    </row>
    <row r="534" spans="1:5" x14ac:dyDescent="0.3">
      <c r="A534" s="4"/>
      <c r="B534" s="1"/>
      <c r="C534" s="1" t="str">
        <f>IF(ISBLANK(B534),"",VLOOKUP(B534,LoggerMaster!$A$2:$B$13,2,FALSE))</f>
        <v/>
      </c>
      <c r="D534" s="1"/>
      <c r="E534" s="1"/>
    </row>
    <row r="535" spans="1:5" x14ac:dyDescent="0.3">
      <c r="A535" s="4"/>
      <c r="B535" s="1"/>
      <c r="C535" s="1" t="str">
        <f>IF(ISBLANK(B535),"",VLOOKUP(B535,LoggerMaster!$A$2:$B$13,2,FALSE))</f>
        <v/>
      </c>
      <c r="D535" s="1"/>
      <c r="E535" s="1"/>
    </row>
    <row r="536" spans="1:5" x14ac:dyDescent="0.3">
      <c r="A536" s="4"/>
      <c r="B536" s="1"/>
      <c r="C536" s="1" t="str">
        <f>IF(ISBLANK(B536),"",VLOOKUP(B536,LoggerMaster!$A$2:$B$13,2,FALSE))</f>
        <v/>
      </c>
      <c r="D536" s="1"/>
      <c r="E536" s="1"/>
    </row>
    <row r="537" spans="1:5" x14ac:dyDescent="0.3">
      <c r="A537" s="4"/>
      <c r="B537" s="1"/>
      <c r="C537" s="1" t="str">
        <f>IF(ISBLANK(B537),"",VLOOKUP(B537,LoggerMaster!$A$2:$B$13,2,FALSE))</f>
        <v/>
      </c>
      <c r="D537" s="1"/>
      <c r="E537" s="1"/>
    </row>
    <row r="538" spans="1:5" x14ac:dyDescent="0.3">
      <c r="A538" s="4"/>
      <c r="B538" s="1"/>
      <c r="C538" s="1" t="str">
        <f>IF(ISBLANK(B538),"",VLOOKUP(B538,LoggerMaster!$A$2:$B$13,2,FALSE))</f>
        <v/>
      </c>
      <c r="D538" s="1"/>
      <c r="E538" s="1"/>
    </row>
    <row r="539" spans="1:5" x14ac:dyDescent="0.3">
      <c r="A539" s="4"/>
      <c r="B539" s="1"/>
      <c r="C539" s="1" t="str">
        <f>IF(ISBLANK(B539),"",VLOOKUP(B539,LoggerMaster!$A$2:$B$13,2,FALSE))</f>
        <v/>
      </c>
      <c r="D539" s="1"/>
      <c r="E539" s="1"/>
    </row>
    <row r="540" spans="1:5" x14ac:dyDescent="0.3">
      <c r="A540" s="4"/>
      <c r="B540" s="1"/>
      <c r="C540" s="1" t="str">
        <f>IF(ISBLANK(B540),"",VLOOKUP(B540,LoggerMaster!$A$2:$B$13,2,FALSE))</f>
        <v/>
      </c>
      <c r="D540" s="1"/>
      <c r="E540" s="1"/>
    </row>
    <row r="541" spans="1:5" x14ac:dyDescent="0.3">
      <c r="A541" s="4"/>
      <c r="B541" s="1"/>
      <c r="C541" s="1" t="str">
        <f>IF(ISBLANK(B541),"",VLOOKUP(B541,LoggerMaster!$A$2:$B$13,2,FALSE))</f>
        <v/>
      </c>
      <c r="D541" s="1"/>
      <c r="E541" s="1"/>
    </row>
    <row r="542" spans="1:5" x14ac:dyDescent="0.3">
      <c r="A542" s="4"/>
      <c r="B542" s="1"/>
      <c r="C542" s="1" t="str">
        <f>IF(ISBLANK(B542),"",VLOOKUP(B542,LoggerMaster!$A$2:$B$13,2,FALSE))</f>
        <v/>
      </c>
      <c r="D542" s="1"/>
      <c r="E542" s="1"/>
    </row>
    <row r="543" spans="1:5" x14ac:dyDescent="0.3">
      <c r="A543" s="4"/>
      <c r="B543" s="1"/>
      <c r="C543" s="1" t="str">
        <f>IF(ISBLANK(B543),"",VLOOKUP(B543,LoggerMaster!$A$2:$B$13,2,FALSE))</f>
        <v/>
      </c>
      <c r="D543" s="1"/>
      <c r="E543" s="1"/>
    </row>
    <row r="544" spans="1:5" x14ac:dyDescent="0.3">
      <c r="A544" s="4"/>
      <c r="B544" s="1"/>
      <c r="C544" s="1" t="str">
        <f>IF(ISBLANK(B544),"",VLOOKUP(B544,LoggerMaster!$A$2:$B$13,2,FALSE))</f>
        <v/>
      </c>
      <c r="D544" s="1"/>
      <c r="E544" s="1"/>
    </row>
    <row r="545" spans="1:5" x14ac:dyDescent="0.3">
      <c r="A545" s="4"/>
      <c r="B545" s="1"/>
      <c r="C545" s="1" t="str">
        <f>IF(ISBLANK(B545),"",VLOOKUP(B545,LoggerMaster!$A$2:$B$13,2,FALSE))</f>
        <v/>
      </c>
      <c r="D545" s="1"/>
      <c r="E545" s="1"/>
    </row>
    <row r="546" spans="1:5" x14ac:dyDescent="0.3">
      <c r="A546" s="4"/>
      <c r="B546" s="1"/>
      <c r="C546" s="1" t="str">
        <f>IF(ISBLANK(B546),"",VLOOKUP(B546,LoggerMaster!$A$2:$B$13,2,FALSE))</f>
        <v/>
      </c>
      <c r="D546" s="1"/>
      <c r="E546" s="1"/>
    </row>
    <row r="547" spans="1:5" x14ac:dyDescent="0.3">
      <c r="A547" s="4"/>
      <c r="B547" s="1"/>
      <c r="C547" s="1" t="str">
        <f>IF(ISBLANK(B547),"",VLOOKUP(B547,LoggerMaster!$A$2:$B$13,2,FALSE))</f>
        <v/>
      </c>
      <c r="D547" s="1"/>
      <c r="E547" s="1"/>
    </row>
    <row r="548" spans="1:5" x14ac:dyDescent="0.3">
      <c r="A548" s="4"/>
      <c r="B548" s="1"/>
      <c r="C548" s="1" t="str">
        <f>IF(ISBLANK(B548),"",VLOOKUP(B548,LoggerMaster!$A$2:$B$13,2,FALSE))</f>
        <v/>
      </c>
      <c r="D548" s="1"/>
      <c r="E548" s="1"/>
    </row>
    <row r="549" spans="1:5" x14ac:dyDescent="0.3">
      <c r="A549" s="4"/>
      <c r="B549" s="1"/>
      <c r="C549" s="1" t="str">
        <f>IF(ISBLANK(B549),"",VLOOKUP(B549,LoggerMaster!$A$2:$B$13,2,FALSE))</f>
        <v/>
      </c>
      <c r="D549" s="1"/>
      <c r="E549" s="1"/>
    </row>
    <row r="550" spans="1:5" x14ac:dyDescent="0.3">
      <c r="A550" s="4"/>
      <c r="B550" s="1"/>
      <c r="C550" s="1" t="str">
        <f>IF(ISBLANK(B550),"",VLOOKUP(B550,LoggerMaster!$A$2:$B$13,2,FALSE))</f>
        <v/>
      </c>
      <c r="D550" s="1"/>
      <c r="E550" s="1"/>
    </row>
    <row r="551" spans="1:5" x14ac:dyDescent="0.3">
      <c r="A551" s="4"/>
      <c r="B551" s="1"/>
      <c r="C551" s="1" t="str">
        <f>IF(ISBLANK(B551),"",VLOOKUP(B551,LoggerMaster!$A$2:$B$13,2,FALSE))</f>
        <v/>
      </c>
      <c r="D551" s="1"/>
      <c r="E551" s="1"/>
    </row>
    <row r="552" spans="1:5" x14ac:dyDescent="0.3">
      <c r="A552" s="4"/>
      <c r="B552" s="1"/>
      <c r="C552" s="1" t="str">
        <f>IF(ISBLANK(B552),"",VLOOKUP(B552,LoggerMaster!$A$2:$B$13,2,FALSE))</f>
        <v/>
      </c>
      <c r="D552" s="1"/>
      <c r="E552" s="1"/>
    </row>
    <row r="553" spans="1:5" x14ac:dyDescent="0.3">
      <c r="A553" s="4"/>
      <c r="B553" s="1"/>
      <c r="C553" s="1" t="str">
        <f>IF(ISBLANK(B553),"",VLOOKUP(B553,LoggerMaster!$A$2:$B$13,2,FALSE))</f>
        <v/>
      </c>
      <c r="D553" s="1"/>
      <c r="E553" s="1"/>
    </row>
    <row r="554" spans="1:5" x14ac:dyDescent="0.3">
      <c r="A554" s="4"/>
      <c r="B554" s="1"/>
      <c r="C554" s="1" t="str">
        <f>IF(ISBLANK(B554),"",VLOOKUP(B554,LoggerMaster!$A$2:$B$13,2,FALSE))</f>
        <v/>
      </c>
      <c r="D554" s="1"/>
      <c r="E554" s="1"/>
    </row>
    <row r="555" spans="1:5" x14ac:dyDescent="0.3">
      <c r="A555" s="4"/>
      <c r="B555" s="1"/>
      <c r="C555" s="1" t="str">
        <f>IF(ISBLANK(B555),"",VLOOKUP(B555,LoggerMaster!$A$2:$B$13,2,FALSE))</f>
        <v/>
      </c>
      <c r="D555" s="1"/>
      <c r="E555" s="1"/>
    </row>
    <row r="556" spans="1:5" x14ac:dyDescent="0.3">
      <c r="A556" s="4"/>
      <c r="B556" s="1"/>
      <c r="C556" s="1" t="str">
        <f>IF(ISBLANK(B556),"",VLOOKUP(B556,LoggerMaster!$A$2:$B$13,2,FALSE))</f>
        <v/>
      </c>
      <c r="D556" s="1"/>
      <c r="E556" s="1"/>
    </row>
    <row r="557" spans="1:5" x14ac:dyDescent="0.3">
      <c r="A557" s="4"/>
      <c r="B557" s="1"/>
      <c r="C557" s="1" t="str">
        <f>IF(ISBLANK(B557),"",VLOOKUP(B557,LoggerMaster!$A$2:$B$13,2,FALSE))</f>
        <v/>
      </c>
      <c r="D557" s="1"/>
      <c r="E557" s="1"/>
    </row>
    <row r="558" spans="1:5" x14ac:dyDescent="0.3">
      <c r="A558" s="4"/>
      <c r="B558" s="1"/>
      <c r="C558" s="1" t="str">
        <f>IF(ISBLANK(B558),"",VLOOKUP(B558,LoggerMaster!$A$2:$B$13,2,FALSE))</f>
        <v/>
      </c>
      <c r="D558" s="1"/>
      <c r="E558" s="1"/>
    </row>
    <row r="559" spans="1:5" x14ac:dyDescent="0.3">
      <c r="A559" s="4"/>
      <c r="B559" s="1"/>
      <c r="C559" s="1" t="str">
        <f>IF(ISBLANK(B559),"",VLOOKUP(B559,LoggerMaster!$A$2:$B$13,2,FALSE))</f>
        <v/>
      </c>
      <c r="D559" s="1"/>
      <c r="E559" s="1"/>
    </row>
    <row r="560" spans="1:5" x14ac:dyDescent="0.3">
      <c r="A560" s="4"/>
      <c r="B560" s="1"/>
      <c r="C560" s="1" t="str">
        <f>IF(ISBLANK(B560),"",VLOOKUP(B560,LoggerMaster!$A$2:$B$13,2,FALSE))</f>
        <v/>
      </c>
      <c r="D560" s="1"/>
      <c r="E560" s="1"/>
    </row>
    <row r="561" spans="1:5" x14ac:dyDescent="0.3">
      <c r="A561" s="4"/>
      <c r="B561" s="1"/>
      <c r="C561" s="1" t="str">
        <f>IF(ISBLANK(B561),"",VLOOKUP(B561,LoggerMaster!$A$2:$B$13,2,FALSE))</f>
        <v/>
      </c>
      <c r="D561" s="1"/>
      <c r="E561" s="1"/>
    </row>
    <row r="562" spans="1:5" x14ac:dyDescent="0.3">
      <c r="A562" s="4"/>
      <c r="B562" s="1"/>
      <c r="C562" s="1" t="str">
        <f>IF(ISBLANK(B562),"",VLOOKUP(B562,LoggerMaster!$A$2:$B$13,2,FALSE))</f>
        <v/>
      </c>
      <c r="D562" s="1"/>
      <c r="E562" s="1"/>
    </row>
    <row r="563" spans="1:5" x14ac:dyDescent="0.3">
      <c r="A563" s="4"/>
      <c r="B563" s="1"/>
      <c r="C563" s="1" t="str">
        <f>IF(ISBLANK(B563),"",VLOOKUP(B563,LoggerMaster!$A$2:$B$13,2,FALSE))</f>
        <v/>
      </c>
      <c r="D563" s="1"/>
      <c r="E563" s="1"/>
    </row>
    <row r="564" spans="1:5" x14ac:dyDescent="0.3">
      <c r="A564" s="4"/>
      <c r="B564" s="1"/>
      <c r="C564" s="1" t="str">
        <f>IF(ISBLANK(B564),"",VLOOKUP(B564,LoggerMaster!$A$2:$B$13,2,FALSE))</f>
        <v/>
      </c>
      <c r="D564" s="1"/>
      <c r="E564" s="1"/>
    </row>
    <row r="565" spans="1:5" x14ac:dyDescent="0.3">
      <c r="A565" s="4"/>
      <c r="B565" s="1"/>
      <c r="C565" s="1" t="str">
        <f>IF(ISBLANK(B565),"",VLOOKUP(B565,LoggerMaster!$A$2:$B$13,2,FALSE))</f>
        <v/>
      </c>
      <c r="D565" s="1"/>
      <c r="E565" s="1"/>
    </row>
    <row r="566" spans="1:5" x14ac:dyDescent="0.3">
      <c r="A566" s="4"/>
      <c r="B566" s="1"/>
      <c r="C566" s="1" t="str">
        <f>IF(ISBLANK(B566),"",VLOOKUP(B566,LoggerMaster!$A$2:$B$13,2,FALSE))</f>
        <v/>
      </c>
      <c r="D566" s="1"/>
      <c r="E566" s="1"/>
    </row>
    <row r="567" spans="1:5" x14ac:dyDescent="0.3">
      <c r="A567" s="4"/>
      <c r="B567" s="1"/>
      <c r="C567" s="1" t="str">
        <f>IF(ISBLANK(B567),"",VLOOKUP(B567,LoggerMaster!$A$2:$B$13,2,FALSE))</f>
        <v/>
      </c>
      <c r="D567" s="1"/>
      <c r="E567" s="1"/>
    </row>
    <row r="568" spans="1:5" x14ac:dyDescent="0.3">
      <c r="A568" s="4"/>
      <c r="B568" s="1"/>
      <c r="C568" s="1" t="str">
        <f>IF(ISBLANK(B568),"",VLOOKUP(B568,LoggerMaster!$A$2:$B$13,2,FALSE))</f>
        <v/>
      </c>
      <c r="D568" s="1"/>
      <c r="E568" s="1"/>
    </row>
    <row r="569" spans="1:5" x14ac:dyDescent="0.3">
      <c r="A569" s="4"/>
      <c r="B569" s="1"/>
      <c r="C569" s="1" t="str">
        <f>IF(ISBLANK(B569),"",VLOOKUP(B569,LoggerMaster!$A$2:$B$13,2,FALSE))</f>
        <v/>
      </c>
      <c r="D569" s="1"/>
      <c r="E569" s="1"/>
    </row>
    <row r="570" spans="1:5" x14ac:dyDescent="0.3">
      <c r="A570" s="4"/>
      <c r="B570" s="1"/>
      <c r="C570" s="1" t="str">
        <f>IF(ISBLANK(B570),"",VLOOKUP(B570,LoggerMaster!$A$2:$B$13,2,FALSE))</f>
        <v/>
      </c>
      <c r="D570" s="1"/>
      <c r="E570" s="1"/>
    </row>
    <row r="571" spans="1:5" x14ac:dyDescent="0.3">
      <c r="A571" s="4"/>
      <c r="B571" s="1"/>
      <c r="C571" s="1" t="str">
        <f>IF(ISBLANK(B571),"",VLOOKUP(B571,LoggerMaster!$A$2:$B$13,2,FALSE))</f>
        <v/>
      </c>
      <c r="D571" s="1"/>
      <c r="E571" s="1"/>
    </row>
    <row r="572" spans="1:5" x14ac:dyDescent="0.3">
      <c r="A572" s="4"/>
      <c r="B572" s="1"/>
      <c r="C572" s="1" t="str">
        <f>IF(ISBLANK(B572),"",VLOOKUP(B572,LoggerMaster!$A$2:$B$13,2,FALSE))</f>
        <v/>
      </c>
      <c r="D572" s="1"/>
      <c r="E572" s="1"/>
    </row>
    <row r="573" spans="1:5" x14ac:dyDescent="0.3">
      <c r="A573" s="4"/>
      <c r="B573" s="1"/>
      <c r="C573" s="1" t="str">
        <f>IF(ISBLANK(B573),"",VLOOKUP(B573,LoggerMaster!$A$2:$B$13,2,FALSE))</f>
        <v/>
      </c>
      <c r="D573" s="1"/>
      <c r="E573" s="1"/>
    </row>
    <row r="574" spans="1:5" x14ac:dyDescent="0.3">
      <c r="A574" s="4"/>
      <c r="B574" s="1"/>
      <c r="C574" s="1" t="str">
        <f>IF(ISBLANK(B574),"",VLOOKUP(B574,LoggerMaster!$A$2:$B$13,2,FALSE))</f>
        <v/>
      </c>
      <c r="D574" s="1"/>
      <c r="E574" s="1"/>
    </row>
    <row r="575" spans="1:5" x14ac:dyDescent="0.3">
      <c r="A575" s="4"/>
      <c r="B575" s="1"/>
      <c r="C575" s="1" t="str">
        <f>IF(ISBLANK(B575),"",VLOOKUP(B575,LoggerMaster!$A$2:$B$13,2,FALSE))</f>
        <v/>
      </c>
      <c r="D575" s="1"/>
      <c r="E575" s="1"/>
    </row>
    <row r="576" spans="1:5" x14ac:dyDescent="0.3">
      <c r="A576" s="4"/>
      <c r="B576" s="1"/>
      <c r="C576" s="1" t="str">
        <f>IF(ISBLANK(B576),"",VLOOKUP(B576,LoggerMaster!$A$2:$B$13,2,FALSE))</f>
        <v/>
      </c>
      <c r="D576" s="1"/>
      <c r="E576" s="1"/>
    </row>
    <row r="577" spans="1:5" x14ac:dyDescent="0.3">
      <c r="A577" s="4"/>
      <c r="B577" s="1"/>
      <c r="C577" s="1" t="str">
        <f>IF(ISBLANK(B577),"",VLOOKUP(B577,LoggerMaster!$A$2:$B$13,2,FALSE))</f>
        <v/>
      </c>
      <c r="D577" s="1"/>
      <c r="E577" s="1"/>
    </row>
    <row r="578" spans="1:5" x14ac:dyDescent="0.3">
      <c r="A578" s="4"/>
      <c r="B578" s="1"/>
      <c r="C578" s="1" t="str">
        <f>IF(ISBLANK(B578),"",VLOOKUP(B578,LoggerMaster!$A$2:$B$13,2,FALSE))</f>
        <v/>
      </c>
      <c r="D578" s="1"/>
      <c r="E578" s="1"/>
    </row>
    <row r="579" spans="1:5" x14ac:dyDescent="0.3">
      <c r="A579" s="4"/>
      <c r="B579" s="1"/>
      <c r="C579" s="1" t="str">
        <f>IF(ISBLANK(B579),"",VLOOKUP(B579,LoggerMaster!$A$2:$B$13,2,FALSE))</f>
        <v/>
      </c>
      <c r="D579" s="1"/>
      <c r="E579" s="1"/>
    </row>
    <row r="580" spans="1:5" x14ac:dyDescent="0.3">
      <c r="A580" s="4"/>
      <c r="B580" s="1"/>
      <c r="C580" s="1" t="str">
        <f>IF(ISBLANK(B580),"",VLOOKUP(B580,LoggerMaster!$A$2:$B$13,2,FALSE))</f>
        <v/>
      </c>
      <c r="D580" s="1"/>
      <c r="E580" s="1"/>
    </row>
    <row r="581" spans="1:5" x14ac:dyDescent="0.3">
      <c r="A581" s="4"/>
      <c r="B581" s="1"/>
      <c r="C581" s="1" t="str">
        <f>IF(ISBLANK(B581),"",VLOOKUP(B581,LoggerMaster!$A$2:$B$13,2,FALSE))</f>
        <v/>
      </c>
      <c r="D581" s="1"/>
      <c r="E581" s="1"/>
    </row>
    <row r="582" spans="1:5" x14ac:dyDescent="0.3">
      <c r="A582" s="4"/>
      <c r="B582" s="1"/>
      <c r="C582" s="1" t="str">
        <f>IF(ISBLANK(B582),"",VLOOKUP(B582,LoggerMaster!$A$2:$B$13,2,FALSE))</f>
        <v/>
      </c>
      <c r="D582" s="1"/>
      <c r="E582" s="1"/>
    </row>
    <row r="583" spans="1:5" x14ac:dyDescent="0.3">
      <c r="A583" s="4"/>
      <c r="B583" s="1"/>
      <c r="C583" s="1" t="str">
        <f>IF(ISBLANK(B583),"",VLOOKUP(B583,LoggerMaster!$A$2:$B$13,2,FALSE))</f>
        <v/>
      </c>
      <c r="D583" s="1"/>
      <c r="E583" s="1"/>
    </row>
    <row r="584" spans="1:5" x14ac:dyDescent="0.3">
      <c r="A584" s="4"/>
      <c r="B584" s="1"/>
      <c r="C584" s="1" t="str">
        <f>IF(ISBLANK(B584),"",VLOOKUP(B584,LoggerMaster!$A$2:$B$13,2,FALSE))</f>
        <v/>
      </c>
      <c r="D584" s="1"/>
      <c r="E584" s="1"/>
    </row>
    <row r="585" spans="1:5" x14ac:dyDescent="0.3">
      <c r="A585" s="4"/>
      <c r="B585" s="1"/>
      <c r="C585" s="1" t="str">
        <f>IF(ISBLANK(B585),"",VLOOKUP(B585,LoggerMaster!$A$2:$B$13,2,FALSE))</f>
        <v/>
      </c>
      <c r="D585" s="1"/>
      <c r="E585" s="1"/>
    </row>
    <row r="586" spans="1:5" x14ac:dyDescent="0.3">
      <c r="A586" s="4"/>
      <c r="B586" s="1"/>
      <c r="C586" s="1" t="str">
        <f>IF(ISBLANK(B586),"",VLOOKUP(B586,LoggerMaster!$A$2:$B$13,2,FALSE))</f>
        <v/>
      </c>
      <c r="D586" s="1"/>
      <c r="E586" s="1"/>
    </row>
    <row r="587" spans="1:5" x14ac:dyDescent="0.3">
      <c r="A587" s="4"/>
      <c r="B587" s="1"/>
      <c r="C587" s="1" t="str">
        <f>IF(ISBLANK(B587),"",VLOOKUP(B587,LoggerMaster!$A$2:$B$13,2,FALSE))</f>
        <v/>
      </c>
      <c r="D587" s="1"/>
      <c r="E587" s="1"/>
    </row>
    <row r="588" spans="1:5" x14ac:dyDescent="0.3">
      <c r="A588" s="4"/>
      <c r="B588" s="1"/>
      <c r="C588" s="1" t="str">
        <f>IF(ISBLANK(B588),"",VLOOKUP(B588,LoggerMaster!$A$2:$B$13,2,FALSE))</f>
        <v/>
      </c>
      <c r="D588" s="1"/>
      <c r="E588" s="1"/>
    </row>
    <row r="589" spans="1:5" x14ac:dyDescent="0.3">
      <c r="A589" s="4"/>
      <c r="B589" s="1"/>
      <c r="C589" s="1" t="str">
        <f>IF(ISBLANK(B589),"",VLOOKUP(B589,LoggerMaster!$A$2:$B$13,2,FALSE))</f>
        <v/>
      </c>
      <c r="D589" s="1"/>
      <c r="E589" s="1"/>
    </row>
    <row r="590" spans="1:5" x14ac:dyDescent="0.3">
      <c r="A590" s="4"/>
      <c r="B590" s="1"/>
      <c r="C590" s="1" t="str">
        <f>IF(ISBLANK(B590),"",VLOOKUP(B590,LoggerMaster!$A$2:$B$13,2,FALSE))</f>
        <v/>
      </c>
      <c r="D590" s="1"/>
      <c r="E590" s="1"/>
    </row>
    <row r="591" spans="1:5" x14ac:dyDescent="0.3">
      <c r="A591" s="4"/>
      <c r="B591" s="1"/>
      <c r="C591" s="1" t="str">
        <f>IF(ISBLANK(B591),"",VLOOKUP(B591,LoggerMaster!$A$2:$B$13,2,FALSE))</f>
        <v/>
      </c>
      <c r="D591" s="1"/>
      <c r="E591" s="1"/>
    </row>
    <row r="592" spans="1:5" x14ac:dyDescent="0.3">
      <c r="A592" s="4"/>
      <c r="B592" s="1"/>
      <c r="C592" s="1" t="str">
        <f>IF(ISBLANK(B592),"",VLOOKUP(B592,LoggerMaster!$A$2:$B$13,2,FALSE))</f>
        <v/>
      </c>
      <c r="D592" s="1"/>
      <c r="E592" s="1"/>
    </row>
    <row r="593" spans="1:5" x14ac:dyDescent="0.3">
      <c r="A593" s="4"/>
      <c r="B593" s="1"/>
      <c r="C593" s="1" t="str">
        <f>IF(ISBLANK(B593),"",VLOOKUP(B593,LoggerMaster!$A$2:$B$13,2,FALSE))</f>
        <v/>
      </c>
      <c r="D593" s="1"/>
      <c r="E593" s="1"/>
    </row>
    <row r="594" spans="1:5" x14ac:dyDescent="0.3">
      <c r="A594" s="4"/>
      <c r="B594" s="1"/>
      <c r="C594" s="1" t="str">
        <f>IF(ISBLANK(B594),"",VLOOKUP(B594,LoggerMaster!$A$2:$B$13,2,FALSE))</f>
        <v/>
      </c>
      <c r="D594" s="1"/>
      <c r="E594" s="1"/>
    </row>
    <row r="595" spans="1:5" x14ac:dyDescent="0.3">
      <c r="A595" s="4"/>
      <c r="B595" s="1"/>
      <c r="C595" s="1" t="str">
        <f>IF(ISBLANK(B595),"",VLOOKUP(B595,LoggerMaster!$A$2:$B$13,2,FALSE))</f>
        <v/>
      </c>
      <c r="D595" s="1"/>
      <c r="E595" s="1"/>
    </row>
    <row r="596" spans="1:5" x14ac:dyDescent="0.3">
      <c r="A596" s="4"/>
      <c r="B596" s="1"/>
      <c r="C596" s="1" t="str">
        <f>IF(ISBLANK(B596),"",VLOOKUP(B596,LoggerMaster!$A$2:$B$13,2,FALSE))</f>
        <v/>
      </c>
      <c r="D596" s="1"/>
      <c r="E596" s="1"/>
    </row>
    <row r="597" spans="1:5" x14ac:dyDescent="0.3">
      <c r="A597" s="4"/>
      <c r="B597" s="1"/>
      <c r="C597" s="1" t="str">
        <f>IF(ISBLANK(B597),"",VLOOKUP(B597,LoggerMaster!$A$2:$B$13,2,FALSE))</f>
        <v/>
      </c>
      <c r="D597" s="1"/>
      <c r="E597" s="1"/>
    </row>
    <row r="598" spans="1:5" x14ac:dyDescent="0.3">
      <c r="A598" s="4"/>
      <c r="B598" s="1"/>
      <c r="C598" s="1" t="str">
        <f>IF(ISBLANK(B598),"",VLOOKUP(B598,LoggerMaster!$A$2:$B$13,2,FALSE))</f>
        <v/>
      </c>
      <c r="D598" s="1"/>
      <c r="E598" s="1"/>
    </row>
    <row r="599" spans="1:5" x14ac:dyDescent="0.3">
      <c r="A599" s="4"/>
      <c r="B599" s="1"/>
      <c r="C599" s="1" t="str">
        <f>IF(ISBLANK(B599),"",VLOOKUP(B599,LoggerMaster!$A$2:$B$13,2,FALSE))</f>
        <v/>
      </c>
      <c r="D599" s="1"/>
      <c r="E599" s="1"/>
    </row>
    <row r="600" spans="1:5" x14ac:dyDescent="0.3">
      <c r="A600" s="4"/>
      <c r="B600" s="1"/>
      <c r="C600" s="1" t="str">
        <f>IF(ISBLANK(B600),"",VLOOKUP(B600,LoggerMaster!$A$2:$B$13,2,FALSE))</f>
        <v/>
      </c>
      <c r="D600" s="1"/>
      <c r="E600" s="1"/>
    </row>
    <row r="601" spans="1:5" x14ac:dyDescent="0.3">
      <c r="A601" s="4"/>
      <c r="B601" s="1"/>
      <c r="C601" s="1" t="str">
        <f>IF(ISBLANK(B601),"",VLOOKUP(B601,LoggerMaster!$A$2:$B$13,2,FALSE))</f>
        <v/>
      </c>
      <c r="D601" s="1"/>
      <c r="E601" s="1"/>
    </row>
    <row r="602" spans="1:5" x14ac:dyDescent="0.3">
      <c r="A602" s="4"/>
      <c r="B602" s="1"/>
      <c r="C602" s="1" t="str">
        <f>IF(ISBLANK(B602),"",VLOOKUP(B602,LoggerMaster!$A$2:$B$13,2,FALSE))</f>
        <v/>
      </c>
      <c r="D602" s="1"/>
      <c r="E602" s="1"/>
    </row>
    <row r="603" spans="1:5" x14ac:dyDescent="0.3">
      <c r="A603" s="4"/>
      <c r="B603" s="1"/>
      <c r="C603" s="1" t="str">
        <f>IF(ISBLANK(B603),"",VLOOKUP(B603,LoggerMaster!$A$2:$B$13,2,FALSE))</f>
        <v/>
      </c>
      <c r="D603" s="1"/>
      <c r="E603" s="1"/>
    </row>
    <row r="604" spans="1:5" x14ac:dyDescent="0.3">
      <c r="A604" s="4"/>
      <c r="B604" s="1"/>
      <c r="C604" s="1" t="str">
        <f>IF(ISBLANK(B604),"",VLOOKUP(B604,LoggerMaster!$A$2:$B$13,2,FALSE))</f>
        <v/>
      </c>
      <c r="D604" s="1"/>
      <c r="E604" s="1"/>
    </row>
    <row r="605" spans="1:5" x14ac:dyDescent="0.3">
      <c r="A605" s="4"/>
      <c r="B605" s="1"/>
      <c r="C605" s="1" t="str">
        <f>IF(ISBLANK(B605),"",VLOOKUP(B605,LoggerMaster!$A$2:$B$13,2,FALSE))</f>
        <v/>
      </c>
      <c r="D605" s="1"/>
      <c r="E605" s="1"/>
    </row>
    <row r="606" spans="1:5" x14ac:dyDescent="0.3">
      <c r="A606" s="4"/>
      <c r="B606" s="1"/>
      <c r="C606" s="1" t="str">
        <f>IF(ISBLANK(B606),"",VLOOKUP(B606,LoggerMaster!$A$2:$B$13,2,FALSE))</f>
        <v/>
      </c>
      <c r="D606" s="1"/>
      <c r="E606" s="1"/>
    </row>
    <row r="607" spans="1:5" x14ac:dyDescent="0.3">
      <c r="A607" s="4"/>
      <c r="B607" s="1"/>
      <c r="C607" s="1" t="str">
        <f>IF(ISBLANK(B607),"",VLOOKUP(B607,LoggerMaster!$A$2:$B$13,2,FALSE))</f>
        <v/>
      </c>
      <c r="D607" s="1"/>
      <c r="E607" s="1"/>
    </row>
    <row r="608" spans="1:5" x14ac:dyDescent="0.3">
      <c r="A608" s="4"/>
      <c r="B608" s="1"/>
      <c r="C608" s="1" t="str">
        <f>IF(ISBLANK(B608),"",VLOOKUP(B608,LoggerMaster!$A$2:$B$13,2,FALSE))</f>
        <v/>
      </c>
      <c r="D608" s="1"/>
      <c r="E608" s="1"/>
    </row>
    <row r="609" spans="1:5" x14ac:dyDescent="0.3">
      <c r="A609" s="4"/>
      <c r="B609" s="1"/>
      <c r="C609" s="1" t="str">
        <f>IF(ISBLANK(B609),"",VLOOKUP(B609,LoggerMaster!$A$2:$B$13,2,FALSE))</f>
        <v/>
      </c>
      <c r="D609" s="1"/>
      <c r="E609" s="1"/>
    </row>
    <row r="610" spans="1:5" x14ac:dyDescent="0.3">
      <c r="A610" s="4"/>
      <c r="B610" s="1"/>
      <c r="C610" s="1" t="str">
        <f>IF(ISBLANK(B610),"",VLOOKUP(B610,LoggerMaster!$A$2:$B$13,2,FALSE))</f>
        <v/>
      </c>
      <c r="D610" s="1"/>
      <c r="E610" s="1"/>
    </row>
    <row r="611" spans="1:5" x14ac:dyDescent="0.3">
      <c r="A611" s="4"/>
      <c r="B611" s="1"/>
      <c r="C611" s="1" t="str">
        <f>IF(ISBLANK(B611),"",VLOOKUP(B611,LoggerMaster!$A$2:$B$13,2,FALSE))</f>
        <v/>
      </c>
      <c r="D611" s="1"/>
      <c r="E611" s="1"/>
    </row>
    <row r="612" spans="1:5" x14ac:dyDescent="0.3">
      <c r="A612" s="4"/>
      <c r="B612" s="1"/>
      <c r="C612" s="1" t="str">
        <f>IF(ISBLANK(B612),"",VLOOKUP(B612,LoggerMaster!$A$2:$B$13,2,FALSE))</f>
        <v/>
      </c>
      <c r="D612" s="1"/>
      <c r="E612" s="1"/>
    </row>
    <row r="613" spans="1:5" x14ac:dyDescent="0.3">
      <c r="A613" s="4"/>
      <c r="B613" s="1"/>
      <c r="C613" s="1" t="str">
        <f>IF(ISBLANK(B613),"",VLOOKUP(B613,LoggerMaster!$A$2:$B$13,2,FALSE))</f>
        <v/>
      </c>
      <c r="D613" s="1"/>
      <c r="E613" s="1"/>
    </row>
    <row r="614" spans="1:5" x14ac:dyDescent="0.3">
      <c r="A614" s="4"/>
      <c r="B614" s="1"/>
      <c r="C614" s="1" t="str">
        <f>IF(ISBLANK(B614),"",VLOOKUP(B614,LoggerMaster!$A$2:$B$13,2,FALSE))</f>
        <v/>
      </c>
      <c r="D614" s="1"/>
      <c r="E614" s="1"/>
    </row>
    <row r="615" spans="1:5" x14ac:dyDescent="0.3">
      <c r="A615" s="4"/>
      <c r="B615" s="1"/>
      <c r="C615" s="1" t="str">
        <f>IF(ISBLANK(B615),"",VLOOKUP(B615,LoggerMaster!$A$2:$B$13,2,FALSE))</f>
        <v/>
      </c>
      <c r="D615" s="1"/>
      <c r="E615" s="1"/>
    </row>
    <row r="616" spans="1:5" x14ac:dyDescent="0.3">
      <c r="A616" s="4"/>
      <c r="B616" s="1"/>
      <c r="C616" s="1" t="str">
        <f>IF(ISBLANK(B616),"",VLOOKUP(B616,LoggerMaster!$A$2:$B$13,2,FALSE))</f>
        <v/>
      </c>
      <c r="D616" s="1"/>
      <c r="E616" s="1"/>
    </row>
    <row r="617" spans="1:5" x14ac:dyDescent="0.3">
      <c r="A617" s="4"/>
      <c r="B617" s="1"/>
      <c r="C617" s="1" t="str">
        <f>IF(ISBLANK(B617),"",VLOOKUP(B617,LoggerMaster!$A$2:$B$13,2,FALSE))</f>
        <v/>
      </c>
      <c r="D617" s="1"/>
      <c r="E617" s="1"/>
    </row>
    <row r="618" spans="1:5" x14ac:dyDescent="0.3">
      <c r="A618" s="4"/>
      <c r="B618" s="1"/>
      <c r="C618" s="1" t="str">
        <f>IF(ISBLANK(B618),"",VLOOKUP(B618,LoggerMaster!$A$2:$B$13,2,FALSE))</f>
        <v/>
      </c>
      <c r="D618" s="1"/>
      <c r="E618" s="1"/>
    </row>
    <row r="619" spans="1:5" x14ac:dyDescent="0.3">
      <c r="A619" s="4"/>
      <c r="B619" s="1"/>
      <c r="C619" s="1" t="str">
        <f>IF(ISBLANK(B619),"",VLOOKUP(B619,LoggerMaster!$A$2:$B$13,2,FALSE))</f>
        <v/>
      </c>
      <c r="D619" s="1"/>
      <c r="E619" s="1"/>
    </row>
    <row r="620" spans="1:5" x14ac:dyDescent="0.3">
      <c r="A620" s="4"/>
      <c r="B620" s="1"/>
      <c r="C620" s="1" t="str">
        <f>IF(ISBLANK(B620),"",VLOOKUP(B620,LoggerMaster!$A$2:$B$13,2,FALSE))</f>
        <v/>
      </c>
      <c r="D620" s="1"/>
      <c r="E620" s="1"/>
    </row>
    <row r="621" spans="1:5" x14ac:dyDescent="0.3">
      <c r="A621" s="4"/>
      <c r="B621" s="1"/>
      <c r="C621" s="1" t="str">
        <f>IF(ISBLANK(B621),"",VLOOKUP(B621,LoggerMaster!$A$2:$B$13,2,FALSE))</f>
        <v/>
      </c>
      <c r="D621" s="1"/>
      <c r="E621" s="1"/>
    </row>
    <row r="622" spans="1:5" x14ac:dyDescent="0.3">
      <c r="A622" s="4"/>
      <c r="B622" s="1"/>
      <c r="C622" s="1" t="str">
        <f>IF(ISBLANK(B622),"",VLOOKUP(B622,LoggerMaster!$A$2:$B$13,2,FALSE))</f>
        <v/>
      </c>
      <c r="D622" s="1"/>
      <c r="E622" s="1"/>
    </row>
    <row r="623" spans="1:5" x14ac:dyDescent="0.3">
      <c r="A623" s="4"/>
      <c r="B623" s="1"/>
      <c r="C623" s="1" t="str">
        <f>IF(ISBLANK(B623),"",VLOOKUP(B623,LoggerMaster!$A$2:$B$13,2,FALSE))</f>
        <v/>
      </c>
      <c r="D623" s="1"/>
      <c r="E623" s="1"/>
    </row>
    <row r="624" spans="1:5" x14ac:dyDescent="0.3">
      <c r="A624" s="4"/>
      <c r="B624" s="1"/>
      <c r="C624" s="1" t="str">
        <f>IF(ISBLANK(B624),"",VLOOKUP(B624,LoggerMaster!$A$2:$B$13,2,FALSE))</f>
        <v/>
      </c>
      <c r="D624" s="1"/>
      <c r="E624" s="1"/>
    </row>
    <row r="625" spans="1:5" x14ac:dyDescent="0.3">
      <c r="A625" s="4"/>
      <c r="B625" s="1"/>
      <c r="C625" s="1" t="str">
        <f>IF(ISBLANK(B625),"",VLOOKUP(B625,LoggerMaster!$A$2:$B$13,2,FALSE))</f>
        <v/>
      </c>
      <c r="D625" s="1"/>
      <c r="E625" s="1"/>
    </row>
    <row r="626" spans="1:5" x14ac:dyDescent="0.3">
      <c r="A626" s="4"/>
      <c r="B626" s="1"/>
      <c r="C626" s="1" t="str">
        <f>IF(ISBLANK(B626),"",VLOOKUP(B626,LoggerMaster!$A$2:$B$13,2,FALSE))</f>
        <v/>
      </c>
      <c r="D626" s="1"/>
      <c r="E626" s="1"/>
    </row>
    <row r="627" spans="1:5" x14ac:dyDescent="0.3">
      <c r="A627" s="4"/>
      <c r="B627" s="1"/>
      <c r="C627" s="1" t="str">
        <f>IF(ISBLANK(B627),"",VLOOKUP(B627,LoggerMaster!$A$2:$B$13,2,FALSE))</f>
        <v/>
      </c>
      <c r="D627" s="1"/>
      <c r="E627" s="1"/>
    </row>
    <row r="628" spans="1:5" x14ac:dyDescent="0.3">
      <c r="A628" s="4"/>
      <c r="B628" s="1"/>
      <c r="C628" s="1" t="str">
        <f>IF(ISBLANK(B628),"",VLOOKUP(B628,LoggerMaster!$A$2:$B$13,2,FALSE))</f>
        <v/>
      </c>
      <c r="D628" s="1"/>
      <c r="E628" s="1"/>
    </row>
    <row r="629" spans="1:5" x14ac:dyDescent="0.3">
      <c r="A629" s="4"/>
      <c r="B629" s="1"/>
      <c r="C629" s="1" t="str">
        <f>IF(ISBLANK(B629),"",VLOOKUP(B629,LoggerMaster!$A$2:$B$13,2,FALSE))</f>
        <v/>
      </c>
      <c r="D629" s="1"/>
      <c r="E629" s="1"/>
    </row>
    <row r="630" spans="1:5" x14ac:dyDescent="0.3">
      <c r="A630" s="4"/>
      <c r="B630" s="1"/>
      <c r="C630" s="1" t="str">
        <f>IF(ISBLANK(B630),"",VLOOKUP(B630,LoggerMaster!$A$2:$B$13,2,FALSE))</f>
        <v/>
      </c>
      <c r="D630" s="1"/>
      <c r="E630" s="1"/>
    </row>
    <row r="631" spans="1:5" x14ac:dyDescent="0.3">
      <c r="A631" s="4"/>
      <c r="B631" s="1"/>
      <c r="C631" s="1" t="str">
        <f>IF(ISBLANK(B631),"",VLOOKUP(B631,LoggerMaster!$A$2:$B$13,2,FALSE))</f>
        <v/>
      </c>
      <c r="D631" s="1"/>
      <c r="E631" s="1"/>
    </row>
    <row r="632" spans="1:5" x14ac:dyDescent="0.3">
      <c r="A632" s="4"/>
      <c r="B632" s="1"/>
      <c r="C632" s="1" t="str">
        <f>IF(ISBLANK(B632),"",VLOOKUP(B632,LoggerMaster!$A$2:$B$13,2,FALSE))</f>
        <v/>
      </c>
      <c r="D632" s="1"/>
      <c r="E632" s="1"/>
    </row>
    <row r="633" spans="1:5" x14ac:dyDescent="0.3">
      <c r="A633" s="4"/>
      <c r="B633" s="1"/>
      <c r="C633" s="1" t="str">
        <f>IF(ISBLANK(B633),"",VLOOKUP(B633,LoggerMaster!$A$2:$B$13,2,FALSE))</f>
        <v/>
      </c>
      <c r="D633" s="1"/>
      <c r="E633" s="1"/>
    </row>
    <row r="634" spans="1:5" x14ac:dyDescent="0.3">
      <c r="A634" s="4"/>
      <c r="B634" s="1"/>
      <c r="C634" s="1" t="str">
        <f>IF(ISBLANK(B634),"",VLOOKUP(B634,LoggerMaster!$A$2:$B$13,2,FALSE))</f>
        <v/>
      </c>
      <c r="D634" s="1"/>
      <c r="E634" s="1"/>
    </row>
    <row r="635" spans="1:5" x14ac:dyDescent="0.3">
      <c r="A635" s="4"/>
      <c r="B635" s="1"/>
      <c r="C635" s="1" t="str">
        <f>IF(ISBLANK(B635),"",VLOOKUP(B635,LoggerMaster!$A$2:$B$13,2,FALSE))</f>
        <v/>
      </c>
      <c r="D635" s="1"/>
      <c r="E635" s="1"/>
    </row>
    <row r="636" spans="1:5" x14ac:dyDescent="0.3">
      <c r="A636" s="4"/>
      <c r="B636" s="1"/>
      <c r="C636" s="1" t="str">
        <f>IF(ISBLANK(B636),"",VLOOKUP(B636,LoggerMaster!$A$2:$B$13,2,FALSE))</f>
        <v/>
      </c>
      <c r="D636" s="1"/>
      <c r="E636" s="1"/>
    </row>
    <row r="637" spans="1:5" x14ac:dyDescent="0.3">
      <c r="A637" s="4"/>
      <c r="B637" s="1"/>
      <c r="C637" s="1" t="str">
        <f>IF(ISBLANK(B637),"",VLOOKUP(B637,LoggerMaster!$A$2:$B$13,2,FALSE))</f>
        <v/>
      </c>
      <c r="D637" s="1"/>
      <c r="E637" s="1"/>
    </row>
  </sheetData>
  <autoFilter ref="A1:E637"/>
  <sortState ref="A2:C41">
    <sortCondition ref="A2"/>
  </sortState>
  <conditionalFormatting sqref="C2:C231 C233:C637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{55753F63-E34B-4ED5-B63E-DA00C8B802F1}</x14:id>
        </ext>
      </extLst>
    </cfRule>
  </conditionalFormatting>
  <conditionalFormatting sqref="C232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{801064AA-9551-443D-B30F-045AA8AE7B3F}</x14:id>
        </ext>
      </extLst>
    </cfRule>
  </conditionalFormatting>
  <conditionalFormatting sqref="D2:D637">
    <cfRule type="cellIs" dxfId="3" priority="1" operator="equal">
      <formula>99</formula>
    </cfRule>
  </conditionalFormatting>
  <pageMargins left="0.7" right="0.7" top="0.75" bottom="0.75" header="0.3" footer="0.3"/>
  <pageSetup paperSize="9" orientation="portrait" r:id="rId1"/>
  <headerFooter>
    <oddFooter>&amp;LLevel 2 – Sensitive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5753F63-E34B-4ED5-B63E-DA00C8B802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C2:C231 C233:C637</xm:sqref>
        </x14:conditionalFormatting>
        <x14:conditionalFormatting xmlns:xm="http://schemas.microsoft.com/office/excel/2006/main">
          <x14:cfRule type="dataBar" id="{801064AA-9551-443D-B30F-045AA8AE7B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LoggerMaster!$A$2:$A$13</xm:f>
          </x14:formula1>
          <xm:sqref>B2:B22 B32:B637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autoPageBreaks="0"/>
  </sheetPr>
  <dimension ref="A1:AI22"/>
  <sheetViews>
    <sheetView tabSelected="1" zoomScale="70" zoomScaleNormal="70" workbookViewId="0">
      <selection activeCell="AI1" sqref="AI1"/>
    </sheetView>
  </sheetViews>
  <sheetFormatPr defaultRowHeight="14.4" x14ac:dyDescent="0.3"/>
  <cols>
    <col min="1" max="1" width="27.109375" bestFit="1" customWidth="1"/>
    <col min="2" max="2" width="7.5546875" bestFit="1" customWidth="1"/>
    <col min="3" max="3" width="10.44140625" bestFit="1" customWidth="1"/>
    <col min="4" max="4" width="6.5546875" bestFit="1" customWidth="1"/>
    <col min="5" max="5" width="10.44140625" bestFit="1" customWidth="1"/>
    <col min="6" max="6" width="11.109375" bestFit="1" customWidth="1"/>
    <col min="7" max="7" width="12.33203125" bestFit="1" customWidth="1"/>
    <col min="8" max="8" width="5.44140625" customWidth="1"/>
    <col min="9" max="9" width="7.77734375" bestFit="1" customWidth="1"/>
    <col min="10" max="10" width="9.77734375" customWidth="1"/>
    <col min="11" max="11" width="7.44140625" customWidth="1"/>
    <col min="12" max="12" width="6.44140625" customWidth="1"/>
    <col min="13" max="13" width="8.6640625" customWidth="1"/>
    <col min="14" max="33" width="2.109375" bestFit="1" customWidth="1"/>
    <col min="34" max="34" width="4.6640625" bestFit="1" customWidth="1"/>
    <col min="35" max="35" width="15.109375" bestFit="1" customWidth="1"/>
  </cols>
  <sheetData>
    <row r="1" spans="1:35" x14ac:dyDescent="0.3">
      <c r="A1" s="7" t="s">
        <v>16</v>
      </c>
      <c r="B1" s="7" t="s">
        <v>4</v>
      </c>
      <c r="C1" s="7" t="s">
        <v>9</v>
      </c>
      <c r="D1" s="7" t="s">
        <v>29</v>
      </c>
      <c r="E1" s="7" t="s">
        <v>11</v>
      </c>
      <c r="F1" s="7" t="s">
        <v>26</v>
      </c>
      <c r="G1" s="7" t="s">
        <v>13</v>
      </c>
      <c r="X1" s="15"/>
      <c r="Z1" s="14"/>
      <c r="AI1" s="14">
        <v>42766.669965277775</v>
      </c>
    </row>
    <row r="2" spans="1:35" x14ac:dyDescent="0.3">
      <c r="A2" s="1" t="s">
        <v>21</v>
      </c>
      <c r="B2" s="31">
        <v>50</v>
      </c>
      <c r="C2" s="34"/>
      <c r="D2" s="1" t="str">
        <f>IF(ISBLANK(C2),"",B2*C2)</f>
        <v/>
      </c>
      <c r="E2" s="35"/>
      <c r="F2" s="36"/>
      <c r="G2" s="5" t="str">
        <f ca="1">IF(ISBLANK(E2),"",DAYS360(E2,TODAY()))</f>
        <v/>
      </c>
      <c r="H2" s="12"/>
    </row>
    <row r="3" spans="1:35" x14ac:dyDescent="0.3">
      <c r="A3" s="1" t="s">
        <v>33</v>
      </c>
      <c r="B3" s="31">
        <v>45</v>
      </c>
      <c r="C3" s="34"/>
      <c r="D3" s="1" t="str">
        <f t="shared" ref="D3:D4" si="0">IF(ISBLANK(C3),"",B3*C3)</f>
        <v/>
      </c>
      <c r="E3" s="35"/>
      <c r="F3" s="36"/>
      <c r="G3" s="5" t="str">
        <f t="shared" ref="G3:G15" ca="1" si="1">IF(ISBLANK(E3),"",DAYS360(E3,TODAY()))</f>
        <v/>
      </c>
      <c r="H3" s="12"/>
    </row>
    <row r="4" spans="1:35" x14ac:dyDescent="0.3">
      <c r="A4" s="1" t="s">
        <v>23</v>
      </c>
      <c r="B4" s="31">
        <v>30</v>
      </c>
      <c r="C4" s="34"/>
      <c r="D4" s="1" t="str">
        <f t="shared" si="0"/>
        <v/>
      </c>
      <c r="E4" s="35"/>
      <c r="F4" s="36"/>
      <c r="G4" s="5" t="str">
        <f t="shared" ca="1" si="1"/>
        <v/>
      </c>
      <c r="H4" s="12"/>
    </row>
    <row r="5" spans="1:35" x14ac:dyDescent="0.3">
      <c r="A5" s="1" t="s">
        <v>24</v>
      </c>
      <c r="B5" s="31">
        <v>1</v>
      </c>
      <c r="C5" s="34">
        <v>2</v>
      </c>
      <c r="D5" s="1">
        <f>IF(ISBLANK(C5),"",B5*C5)</f>
        <v>2</v>
      </c>
      <c r="E5" s="35">
        <v>42766</v>
      </c>
      <c r="F5" s="36"/>
      <c r="G5" s="5">
        <f t="shared" ca="1" si="1"/>
        <v>0</v>
      </c>
      <c r="H5" s="12"/>
    </row>
    <row r="6" spans="1:35" x14ac:dyDescent="0.3">
      <c r="A6" s="1" t="s">
        <v>28</v>
      </c>
      <c r="B6" s="31">
        <v>20</v>
      </c>
      <c r="C6" s="34"/>
      <c r="D6" s="1" t="str">
        <f>IF(ISBLANK(C6),"",B6*C6)</f>
        <v/>
      </c>
      <c r="E6" s="35"/>
      <c r="F6" s="36"/>
      <c r="G6" s="5" t="str">
        <f t="shared" ca="1" si="1"/>
        <v/>
      </c>
      <c r="H6" s="12"/>
    </row>
    <row r="7" spans="1:35" x14ac:dyDescent="0.3">
      <c r="A7" s="1" t="s">
        <v>35</v>
      </c>
      <c r="B7" s="31">
        <v>-10</v>
      </c>
      <c r="C7" s="34"/>
      <c r="D7" s="1" t="str">
        <f>IF(ISBLANK(C7),"",B7*C7)</f>
        <v/>
      </c>
      <c r="E7" s="35"/>
      <c r="F7" s="36"/>
      <c r="G7" s="5" t="str">
        <f t="shared" ca="1" si="1"/>
        <v/>
      </c>
      <c r="H7" s="12"/>
    </row>
    <row r="8" spans="1:35" x14ac:dyDescent="0.3">
      <c r="A8" s="1" t="s">
        <v>8</v>
      </c>
      <c r="B8" s="31">
        <v>15</v>
      </c>
      <c r="C8" s="34"/>
      <c r="D8" s="1" t="str">
        <f>IF(ISBLANK(C8),"",B8*C8)</f>
        <v/>
      </c>
      <c r="E8" s="35"/>
      <c r="F8" s="36"/>
      <c r="G8" s="5" t="str">
        <f t="shared" ca="1" si="1"/>
        <v/>
      </c>
      <c r="H8" s="12"/>
    </row>
    <row r="9" spans="1:35" x14ac:dyDescent="0.3">
      <c r="A9" s="32" t="s">
        <v>27</v>
      </c>
      <c r="B9" s="33">
        <v>20</v>
      </c>
      <c r="C9" s="34"/>
      <c r="D9" s="1" t="str">
        <f t="shared" ref="D9" si="2">IF(ISBLANK(C9),"",B9*C9)</f>
        <v/>
      </c>
      <c r="E9" s="35"/>
      <c r="F9" s="36"/>
      <c r="G9" s="5" t="str">
        <f t="shared" ca="1" si="1"/>
        <v/>
      </c>
      <c r="H9" s="12"/>
    </row>
    <row r="10" spans="1:35" x14ac:dyDescent="0.3">
      <c r="A10" s="1" t="s">
        <v>32</v>
      </c>
      <c r="B10" s="31">
        <v>1</v>
      </c>
      <c r="C10" s="34"/>
      <c r="D10" s="1" t="str">
        <f>IF(ISBLANK(C10),"",B10*C10)</f>
        <v/>
      </c>
      <c r="E10" s="35"/>
      <c r="F10" s="36"/>
      <c r="G10" s="5" t="str">
        <f t="shared" ca="1" si="1"/>
        <v/>
      </c>
      <c r="H10" s="12"/>
    </row>
    <row r="11" spans="1:35" x14ac:dyDescent="0.3">
      <c r="A11" s="1" t="s">
        <v>3</v>
      </c>
      <c r="B11" s="31">
        <v>-10</v>
      </c>
      <c r="C11" s="34"/>
      <c r="D11" s="1" t="str">
        <f>IF(ISBLANK(C11),"",B11*C11)</f>
        <v/>
      </c>
      <c r="E11" s="35"/>
      <c r="F11" s="36"/>
      <c r="G11" s="5" t="str">
        <f t="shared" ca="1" si="1"/>
        <v/>
      </c>
      <c r="H11" s="12"/>
    </row>
    <row r="12" spans="1:35" x14ac:dyDescent="0.3">
      <c r="A12" s="1" t="s">
        <v>22</v>
      </c>
      <c r="B12" s="31">
        <v>10</v>
      </c>
      <c r="C12" s="34"/>
      <c r="D12" s="1" t="str">
        <f>IF(ISBLANK(C12),"",B12*C12)</f>
        <v/>
      </c>
      <c r="E12" s="35"/>
      <c r="F12" s="36"/>
      <c r="G12" s="5" t="str">
        <f t="shared" ca="1" si="1"/>
        <v/>
      </c>
      <c r="H12" s="12"/>
    </row>
    <row r="13" spans="1:35" x14ac:dyDescent="0.3">
      <c r="A13" s="1" t="s">
        <v>34</v>
      </c>
      <c r="B13" s="31">
        <v>15</v>
      </c>
      <c r="C13" s="34"/>
      <c r="D13" s="1" t="str">
        <f>IF(ISBLANK(C13),"",B13*C13)</f>
        <v/>
      </c>
      <c r="E13" s="35"/>
      <c r="F13" s="36"/>
      <c r="G13" s="5" t="str">
        <f t="shared" ca="1" si="1"/>
        <v/>
      </c>
      <c r="H13" s="12"/>
    </row>
    <row r="14" spans="1:35" x14ac:dyDescent="0.3">
      <c r="A14" s="6"/>
      <c r="B14" s="6"/>
      <c r="D14" s="6"/>
      <c r="G14" s="5"/>
    </row>
    <row r="15" spans="1:35" x14ac:dyDescent="0.3">
      <c r="A15" s="6"/>
      <c r="B15" s="6"/>
      <c r="C15" s="18"/>
      <c r="D15" s="18"/>
      <c r="E15" s="17">
        <f>MAX(E2:E13)</f>
        <v>42766</v>
      </c>
      <c r="G15" s="5">
        <f t="shared" ca="1" si="1"/>
        <v>0</v>
      </c>
    </row>
    <row r="16" spans="1:35" x14ac:dyDescent="0.3">
      <c r="E16" s="16"/>
      <c r="F16" s="16"/>
      <c r="K16" s="13"/>
      <c r="N16" s="8" t="s">
        <v>15</v>
      </c>
      <c r="O16" s="8" t="s">
        <v>15</v>
      </c>
      <c r="P16" s="8" t="s">
        <v>15</v>
      </c>
      <c r="Q16" s="8" t="s">
        <v>15</v>
      </c>
      <c r="R16" s="8" t="s">
        <v>15</v>
      </c>
      <c r="S16" s="8" t="s">
        <v>15</v>
      </c>
      <c r="T16" s="8" t="s">
        <v>15</v>
      </c>
      <c r="U16" s="8" t="s">
        <v>15</v>
      </c>
      <c r="V16" s="8" t="s">
        <v>15</v>
      </c>
      <c r="W16" s="8" t="s">
        <v>15</v>
      </c>
      <c r="X16" s="8" t="s">
        <v>15</v>
      </c>
      <c r="Y16" s="8" t="s">
        <v>15</v>
      </c>
      <c r="Z16" s="8" t="s">
        <v>15</v>
      </c>
      <c r="AA16" s="8" t="s">
        <v>15</v>
      </c>
      <c r="AB16" s="8" t="s">
        <v>15</v>
      </c>
      <c r="AC16" s="8" t="s">
        <v>15</v>
      </c>
      <c r="AD16" s="8" t="s">
        <v>15</v>
      </c>
      <c r="AE16" s="8" t="s">
        <v>15</v>
      </c>
      <c r="AF16" s="8" t="s">
        <v>15</v>
      </c>
      <c r="AG16" s="8" t="s">
        <v>15</v>
      </c>
    </row>
    <row r="17" spans="9:33" x14ac:dyDescent="0.3">
      <c r="J17" s="7" t="s">
        <v>9</v>
      </c>
      <c r="K17" s="7" t="s">
        <v>10</v>
      </c>
      <c r="L17" s="7" t="s">
        <v>5</v>
      </c>
      <c r="M17" s="20" t="s">
        <v>0</v>
      </c>
      <c r="N17" s="37" t="s">
        <v>12</v>
      </c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9"/>
    </row>
    <row r="18" spans="9:33" x14ac:dyDescent="0.3">
      <c r="I18" s="7" t="s">
        <v>6</v>
      </c>
      <c r="J18" s="1">
        <f>SUMIF(D2:D13,"&gt;0",C2:C13)</f>
        <v>2</v>
      </c>
      <c r="K18" s="1">
        <f>SUMIF(D2:D13,"&gt;0")</f>
        <v>2</v>
      </c>
      <c r="L18" s="31">
        <v>7000</v>
      </c>
      <c r="M18" s="21">
        <f>K18/L18</f>
        <v>2.8571428571428574E-4</v>
      </c>
      <c r="N18" s="26" t="str">
        <f>IF($M$18&gt;=0.05*(COLUMN()-COLUMN($M$18)),1,"")</f>
        <v/>
      </c>
      <c r="O18" s="25" t="str">
        <f t="shared" ref="O18:AG18" si="3">IF($M$18&gt;=0.05*(COLUMN()-COLUMN($M$18)),1,"")</f>
        <v/>
      </c>
      <c r="P18" s="25" t="str">
        <f t="shared" si="3"/>
        <v/>
      </c>
      <c r="Q18" s="25" t="str">
        <f t="shared" si="3"/>
        <v/>
      </c>
      <c r="R18" s="25" t="str">
        <f t="shared" si="3"/>
        <v/>
      </c>
      <c r="S18" s="25" t="str">
        <f t="shared" si="3"/>
        <v/>
      </c>
      <c r="T18" s="25" t="str">
        <f t="shared" si="3"/>
        <v/>
      </c>
      <c r="U18" s="25" t="str">
        <f t="shared" si="3"/>
        <v/>
      </c>
      <c r="V18" s="25" t="str">
        <f t="shared" si="3"/>
        <v/>
      </c>
      <c r="W18" s="25" t="str">
        <f t="shared" si="3"/>
        <v/>
      </c>
      <c r="X18" s="25" t="str">
        <f t="shared" si="3"/>
        <v/>
      </c>
      <c r="Y18" s="25" t="str">
        <f t="shared" si="3"/>
        <v/>
      </c>
      <c r="Z18" s="25" t="str">
        <f t="shared" si="3"/>
        <v/>
      </c>
      <c r="AA18" s="25" t="str">
        <f t="shared" si="3"/>
        <v/>
      </c>
      <c r="AB18" s="25" t="str">
        <f>IF($M$18&gt;=0.05*(COLUMN()-COLUMN($M$18)),1,"")</f>
        <v/>
      </c>
      <c r="AC18" s="25" t="str">
        <f t="shared" si="3"/>
        <v/>
      </c>
      <c r="AD18" s="25" t="str">
        <f t="shared" si="3"/>
        <v/>
      </c>
      <c r="AE18" s="25" t="str">
        <f t="shared" si="3"/>
        <v/>
      </c>
      <c r="AF18" s="25" t="str">
        <f t="shared" si="3"/>
        <v/>
      </c>
      <c r="AG18" s="19" t="str">
        <f t="shared" si="3"/>
        <v/>
      </c>
    </row>
    <row r="19" spans="9:33" x14ac:dyDescent="0.3">
      <c r="I19" s="7" t="s">
        <v>7</v>
      </c>
      <c r="J19" s="1">
        <f>SUMIF(D2:D13,"&lt;0",C2:C13)</f>
        <v>0</v>
      </c>
      <c r="K19" s="1">
        <f>SUMIF(D2:D13,"&lt;0")</f>
        <v>0</v>
      </c>
      <c r="L19" s="31">
        <v>-120</v>
      </c>
      <c r="M19" s="21">
        <f>K19/L19</f>
        <v>0</v>
      </c>
      <c r="N19" s="9" t="str">
        <f>IF($M$19&gt;=1-0.05*(COLUMN()-COLUMN($M$19)),1,"")</f>
        <v/>
      </c>
      <c r="O19" s="10" t="str">
        <f t="shared" ref="O19:AF19" si="4">IF($M$19&gt;=1-0.05*(COLUMN()-COLUMN($M$19)),1,"")</f>
        <v/>
      </c>
      <c r="P19" s="10" t="str">
        <f t="shared" si="4"/>
        <v/>
      </c>
      <c r="Q19" s="10" t="str">
        <f t="shared" si="4"/>
        <v/>
      </c>
      <c r="R19" s="10" t="str">
        <f t="shared" si="4"/>
        <v/>
      </c>
      <c r="S19" s="10" t="str">
        <f t="shared" si="4"/>
        <v/>
      </c>
      <c r="T19" s="10" t="str">
        <f t="shared" si="4"/>
        <v/>
      </c>
      <c r="U19" s="10" t="str">
        <f t="shared" si="4"/>
        <v/>
      </c>
      <c r="V19" s="10" t="str">
        <f t="shared" si="4"/>
        <v/>
      </c>
      <c r="W19" s="10" t="str">
        <f t="shared" si="4"/>
        <v/>
      </c>
      <c r="X19" s="10" t="str">
        <f t="shared" si="4"/>
        <v/>
      </c>
      <c r="Y19" s="10" t="str">
        <f t="shared" si="4"/>
        <v/>
      </c>
      <c r="Z19" s="10" t="str">
        <f t="shared" si="4"/>
        <v/>
      </c>
      <c r="AA19" s="10" t="str">
        <f t="shared" si="4"/>
        <v/>
      </c>
      <c r="AB19" s="10" t="str">
        <f t="shared" si="4"/>
        <v/>
      </c>
      <c r="AC19" s="10" t="str">
        <f t="shared" si="4"/>
        <v/>
      </c>
      <c r="AD19" s="10" t="str">
        <f t="shared" si="4"/>
        <v/>
      </c>
      <c r="AE19" s="10" t="str">
        <f t="shared" si="4"/>
        <v/>
      </c>
      <c r="AF19" s="10" t="str">
        <f t="shared" si="4"/>
        <v/>
      </c>
      <c r="AG19" s="11" t="str">
        <f>IF($M$19&gt;1-0.05*(COLUMN()-COLUMN($M$19)),1,"")</f>
        <v/>
      </c>
    </row>
    <row r="20" spans="9:33" x14ac:dyDescent="0.3">
      <c r="I20" s="7" t="s">
        <v>2</v>
      </c>
      <c r="J20" s="1">
        <f>SUM(J18:J19)</f>
        <v>2</v>
      </c>
      <c r="K20" s="1">
        <f>SUM(K18:K19)</f>
        <v>2</v>
      </c>
      <c r="L20" s="1">
        <f>SUM(L18:L19)</f>
        <v>6880</v>
      </c>
      <c r="M20" s="21">
        <f>(M18+M19)/2</f>
        <v>1.4285714285714287E-4</v>
      </c>
      <c r="N20" s="22" t="str">
        <f>IF($M$20&gt;=0.05*(COLUMN()-COLUMN($M$20)),1,"")</f>
        <v/>
      </c>
      <c r="O20" s="23" t="str">
        <f t="shared" ref="O20:AG20" si="5">IF($M$20&gt;=0.05*(COLUMN()-COLUMN($M$20)),1,"")</f>
        <v/>
      </c>
      <c r="P20" s="23" t="str">
        <f t="shared" si="5"/>
        <v/>
      </c>
      <c r="Q20" s="23" t="str">
        <f t="shared" si="5"/>
        <v/>
      </c>
      <c r="R20" s="23" t="str">
        <f t="shared" si="5"/>
        <v/>
      </c>
      <c r="S20" s="23" t="str">
        <f t="shared" si="5"/>
        <v/>
      </c>
      <c r="T20" s="23" t="str">
        <f t="shared" si="5"/>
        <v/>
      </c>
      <c r="U20" s="23" t="str">
        <f t="shared" si="5"/>
        <v/>
      </c>
      <c r="V20" s="23" t="str">
        <f t="shared" si="5"/>
        <v/>
      </c>
      <c r="W20" s="23" t="str">
        <f t="shared" si="5"/>
        <v/>
      </c>
      <c r="X20" s="23" t="str">
        <f t="shared" si="5"/>
        <v/>
      </c>
      <c r="Y20" s="23" t="str">
        <f t="shared" si="5"/>
        <v/>
      </c>
      <c r="Z20" s="23" t="str">
        <f t="shared" si="5"/>
        <v/>
      </c>
      <c r="AA20" s="23" t="str">
        <f t="shared" si="5"/>
        <v/>
      </c>
      <c r="AB20" s="23" t="str">
        <f t="shared" si="5"/>
        <v/>
      </c>
      <c r="AC20" s="23" t="str">
        <f t="shared" si="5"/>
        <v/>
      </c>
      <c r="AD20" s="23" t="str">
        <f t="shared" si="5"/>
        <v/>
      </c>
      <c r="AE20" s="23" t="str">
        <f t="shared" si="5"/>
        <v/>
      </c>
      <c r="AF20" s="23" t="str">
        <f t="shared" si="5"/>
        <v/>
      </c>
      <c r="AG20" s="24" t="str">
        <f t="shared" si="5"/>
        <v/>
      </c>
    </row>
    <row r="21" spans="9:33" x14ac:dyDescent="0.3"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</row>
    <row r="22" spans="9:33" x14ac:dyDescent="0.3"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</row>
  </sheetData>
  <sortState ref="A2:B13">
    <sortCondition ref="A2:A13"/>
  </sortState>
  <mergeCells count="1">
    <mergeCell ref="N17:AG17"/>
  </mergeCells>
  <conditionalFormatting sqref="N18:AG18">
    <cfRule type="cellIs" dxfId="2" priority="32" operator="equal">
      <formula>1</formula>
    </cfRule>
  </conditionalFormatting>
  <conditionalFormatting sqref="M17 J17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{53A2C1C1-C2E0-4AF4-B0F7-DE6A429AA52A}</x14:id>
        </ext>
      </extLst>
    </cfRule>
  </conditionalFormatting>
  <conditionalFormatting sqref="N17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{AEA82CB6-7E27-4870-950B-80C5F746A93E}</x14:id>
        </ext>
      </extLst>
    </cfRule>
  </conditionalFormatting>
  <conditionalFormatting sqref="G2:H13 G14:G15">
    <cfRule type="colorScale" priority="16">
      <colorScale>
        <cfvo type="min"/>
        <cfvo type="num" val="4"/>
        <cfvo type="max"/>
        <color rgb="FF00B050"/>
        <color theme="9"/>
        <color rgb="FFC00000"/>
      </colorScale>
    </cfRule>
  </conditionalFormatting>
  <conditionalFormatting sqref="G2:H13 G14:G15">
    <cfRule type="colorScale" priority="15">
      <colorScale>
        <cfvo type="min"/>
        <cfvo type="percentile" val="50"/>
        <cfvo type="max"/>
        <color rgb="FF92D050"/>
        <color rgb="FFFFEB84"/>
        <color rgb="FFC00000"/>
      </colorScale>
    </cfRule>
  </conditionalFormatting>
  <conditionalFormatting sqref="N20:AG20">
    <cfRule type="cellIs" dxfId="1" priority="7" operator="equal">
      <formula>1</formula>
    </cfRule>
  </conditionalFormatting>
  <conditionalFormatting sqref="N19:AG19">
    <cfRule type="cellIs" dxfId="0" priority="3" operator="equal">
      <formula>1</formula>
    </cfRule>
  </conditionalFormatting>
  <conditionalFormatting sqref="I18:I20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{BBAA276F-080E-4E81-8C48-D62CC394F82E}</x14:id>
        </ext>
      </extLst>
    </cfRule>
  </conditionalFormatting>
  <pageMargins left="0.7" right="0.7" top="0.75" bottom="0.75" header="0.3" footer="0.3"/>
  <pageSetup paperSize="9" orientation="portrait" r:id="rId1"/>
  <headerFooter>
    <oddFooter>&amp;LLevel 2 – Sensitive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RecalculateLogActivity">
                <anchor moveWithCells="1">
                  <from>
                    <xdr:col>9</xdr:col>
                    <xdr:colOff>0</xdr:colOff>
                    <xdr:row>2</xdr:row>
                    <xdr:rowOff>76200</xdr:rowOff>
                  </from>
                  <to>
                    <xdr:col>11</xdr:col>
                    <xdr:colOff>320040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gAnActivity">
                <anchor moveWithCells="1">
                  <from>
                    <xdr:col>9</xdr:col>
                    <xdr:colOff>76200</xdr:colOff>
                    <xdr:row>7</xdr:row>
                    <xdr:rowOff>106680</xdr:rowOff>
                  </from>
                  <to>
                    <xdr:col>11</xdr:col>
                    <xdr:colOff>304800</xdr:colOff>
                    <xdr:row>9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3A2C1C1-C2E0-4AF4-B0F7-DE6A429AA5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 J17</xm:sqref>
        </x14:conditionalFormatting>
        <x14:conditionalFormatting xmlns:xm="http://schemas.microsoft.com/office/excel/2006/main">
          <x14:cfRule type="dataBar" id="{AEA82CB6-7E27-4870-950B-80C5F746A9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N17</xm:sqref>
        </x14:conditionalFormatting>
        <x14:conditionalFormatting xmlns:xm="http://schemas.microsoft.com/office/excel/2006/main">
          <x14:cfRule type="dataBar" id="{BBAA276F-080E-4E81-8C48-D62CC394F8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I18:I20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LoggerGraph</vt:lpstr>
      <vt:lpstr>LoggerData</vt:lpstr>
      <vt:lpstr>LoggerMaster</vt:lpstr>
      <vt:lpstr>LoggerDataTbl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Arun Sivanandan</dc:creator>
  <cp:lastModifiedBy>Arun Sivanandan</cp:lastModifiedBy>
  <dcterms:created xsi:type="dcterms:W3CDTF">2012-01-09T21:30:10Z</dcterms:created>
  <dcterms:modified xsi:type="dcterms:W3CDTF">2017-01-31T14:06:08Z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ecurityLevel">
    <vt:lpwstr>Level 2 – Sensitive</vt:lpwstr>
  </property>
  <property fmtid="{D5CDD505-2E9C-101B-9397-08002B2CF9AE}" pid="3" name="Updated">
    <vt:bool>true</vt:bool>
  </property>
</Properties>
</file>